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ris\Desktop\FINAL_PROJECT_CYBFS\04_Project_Management\"/>
    </mc:Choice>
  </mc:AlternateContent>
  <xr:revisionPtr revIDLastSave="0" documentId="13_ncr:1_{CD7E0D41-ED71-4A13-97C4-0A0743A072CE}" xr6:coauthVersionLast="47" xr6:coauthVersionMax="47" xr10:uidLastSave="{00000000-0000-0000-0000-000000000000}"/>
  <bookViews>
    <workbookView xWindow="28680" yWindow="0" windowWidth="29040" windowHeight="15720" activeTab="1" xr2:uid="{00000000-000D-0000-FFFF-FFFF00000000}"/>
  </bookViews>
  <sheets>
    <sheet name="Budget_Estimate" sheetId="1" r:id="rId1"/>
    <sheet name="Assumption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D38" i="1" s="1"/>
  <c r="B38" i="1"/>
  <c r="C37" i="1"/>
  <c r="D37" i="1" s="1"/>
  <c r="B37" i="1"/>
  <c r="C36" i="1"/>
  <c r="D36" i="1" s="1"/>
  <c r="B36" i="1"/>
  <c r="C35" i="1"/>
  <c r="C39" i="1" s="1"/>
  <c r="B8" i="3" s="1"/>
  <c r="B35" i="1"/>
  <c r="E24" i="1"/>
  <c r="E23" i="1"/>
  <c r="E22" i="1"/>
  <c r="E21" i="1"/>
  <c r="E25" i="1" s="1"/>
  <c r="D16" i="1"/>
  <c r="E16" i="1" s="1"/>
  <c r="D14" i="1"/>
  <c r="E14" i="1" s="1"/>
  <c r="D13" i="1"/>
  <c r="E13" i="1" s="1"/>
  <c r="D12" i="1"/>
  <c r="E12" i="1" s="1"/>
  <c r="D11" i="1"/>
  <c r="E11" i="1" s="1"/>
  <c r="E17" i="1" s="1"/>
  <c r="B7" i="1"/>
  <c r="B6" i="1"/>
  <c r="B5" i="1"/>
  <c r="D15" i="1" s="1"/>
  <c r="E15" i="1" s="1"/>
  <c r="B4" i="3" l="1"/>
  <c r="E30" i="1"/>
  <c r="B6" i="3" s="1"/>
  <c r="E28" i="1"/>
  <c r="B5" i="3"/>
  <c r="E29" i="1"/>
  <c r="D35" i="1"/>
  <c r="D39" i="1" s="1"/>
  <c r="B9" i="3" s="1"/>
  <c r="E31" i="1" l="1"/>
  <c r="B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https://www.jedha.co/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https://www.jedha.co/</t>
        </r>
      </text>
    </comment>
    <comment ref="B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Internal project assumption</t>
        </r>
      </text>
    </comment>
    <comment ref="B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Internal project assumption</t>
        </r>
      </text>
    </comment>
    <comment ref="B9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Internal project assumption</t>
        </r>
      </text>
    </comment>
    <comment ref="B10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Internal project assumption</t>
        </r>
      </text>
    </comment>
    <comment ref="B1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Internal project assumption</t>
        </r>
      </text>
    </comment>
  </commentList>
</comments>
</file>

<file path=xl/sharedStrings.xml><?xml version="1.0" encoding="utf-8"?>
<sst xmlns="http://schemas.openxmlformats.org/spreadsheetml/2006/main" count="120" uniqueCount="100">
  <si>
    <t>Project Budget Estimate</t>
  </si>
  <si>
    <t>Scenario: Secure Infrastructure Design, Deployment, Defense and Assessment for a Remote-first Startup</t>
  </si>
  <si>
    <t>Control Inputs</t>
  </si>
  <si>
    <t>People cost per day (€)</t>
  </si>
  <si>
    <t>Project duration (days)</t>
  </si>
  <si>
    <t>Contingency rate</t>
  </si>
  <si>
    <t>People Budget</t>
  </si>
  <si>
    <t>Workstream</t>
  </si>
  <si>
    <t>Owner / Role</t>
  </si>
  <si>
    <t>Days</t>
  </si>
  <si>
    <t>Rate (€ / day)</t>
  </si>
  <si>
    <t>Cost (€)</t>
  </si>
  <si>
    <t>Notes</t>
  </si>
  <si>
    <t>Architecture &amp; technical specification</t>
  </si>
  <si>
    <t>Project lead / architect</t>
  </si>
  <si>
    <t>Context, PRD, architecture, risks, controls</t>
  </si>
  <si>
    <t>Core infrastructure deployment</t>
  </si>
  <si>
    <t>System &amp; services admin</t>
  </si>
  <si>
    <t>AD/IAM, web, DB, file-sharing</t>
  </si>
  <si>
    <t>Network security &amp; remote access</t>
  </si>
  <si>
    <t>Security admin</t>
  </si>
  <si>
    <t>Firewall, exposure control, VPN</t>
  </si>
  <si>
    <t>Monitoring, backup &amp; validation</t>
  </si>
  <si>
    <t>Resilience owner</t>
  </si>
  <si>
    <t>Monitoring, backups, proof collection</t>
  </si>
  <si>
    <t>Blue Team / Red Team documentation</t>
  </si>
  <si>
    <t>Security analyst</t>
  </si>
  <si>
    <t>Project management &amp; presentation</t>
  </si>
  <si>
    <t>Project lead</t>
  </si>
  <si>
    <t>Kanban, budget, roadmap, final deck</t>
  </si>
  <si>
    <t>Total people cost</t>
  </si>
  <si>
    <t/>
  </si>
  <si>
    <t>One-time Setup and Tools</t>
  </si>
  <si>
    <t>Item</t>
  </si>
  <si>
    <t>Category</t>
  </si>
  <si>
    <t>Quantity</t>
  </si>
  <si>
    <t>Unit Cost (€)</t>
  </si>
  <si>
    <t>VM / hypervisor base images</t>
  </si>
  <si>
    <t>Lab setup</t>
  </si>
  <si>
    <t>Uses existing lab or local virtualization</t>
  </si>
  <si>
    <t>Public domain / DNS setup</t>
  </si>
  <si>
    <t>Internet-facing setup</t>
  </si>
  <si>
    <t>Illustrative one-time registration/setup cost</t>
  </si>
  <si>
    <t>Presentation / documentation assets</t>
  </si>
  <si>
    <t>Delivery material</t>
  </si>
  <si>
    <t>Assumes internal tooling</t>
  </si>
  <si>
    <t>Contingency base for misc. setup</t>
  </si>
  <si>
    <t>Miscellaneous</t>
  </si>
  <si>
    <t>Total one-time setup cost</t>
  </si>
  <si>
    <t>Initial Project Budget Summary</t>
  </si>
  <si>
    <t>People cost</t>
  </si>
  <si>
    <t>One-time setup cost</t>
  </si>
  <si>
    <t>Contingency</t>
  </si>
  <si>
    <t>Total initial project budget</t>
  </si>
  <si>
    <t>Estimated Monthly Run-Rate</t>
  </si>
  <si>
    <t>Source</t>
  </si>
  <si>
    <t>Monthly Cost (€)</t>
  </si>
  <si>
    <t>Annualized (€)</t>
  </si>
  <si>
    <t>Type</t>
  </si>
  <si>
    <t>Cloud / hosting</t>
  </si>
  <si>
    <t>Recurring</t>
  </si>
  <si>
    <t>Infrastructure hosting estimate</t>
  </si>
  <si>
    <t>Domain / DNS / certificates</t>
  </si>
  <si>
    <t>Internet-facing service estimate</t>
  </si>
  <si>
    <t>Monitoring / logging</t>
  </si>
  <si>
    <t>Assumes open-source self-hosting</t>
  </si>
  <si>
    <t>Backup storage</t>
  </si>
  <si>
    <t>Protected backup storage estimate</t>
  </si>
  <si>
    <t>Total monthly run-rate</t>
  </si>
  <si>
    <t>Assumptions and notes</t>
  </si>
  <si>
    <t>• This budget is an illustrative SME-scale estimate for the CYBFS final project and should be adjusted to the actual lab, hosting, and team context.</t>
  </si>
  <si>
    <t>• People cost uses the project guide example of 300€/day as a simulation baseline. Source noted in Assumptions sheet.</t>
  </si>
  <si>
    <t>• Recurring monthly costs are simplified placeholders intended to show budget logic and trends rather than audited vendor pricing.</t>
  </si>
  <si>
    <t>Budget Assumptions</t>
  </si>
  <si>
    <t>All cost assumptions below are editable inputs for the project budget.</t>
  </si>
  <si>
    <t>Assumption</t>
  </si>
  <si>
    <t>Value</t>
  </si>
  <si>
    <t>Explanation</t>
  </si>
  <si>
    <t>Guideline from project material for simulated man-day cost.</t>
  </si>
  <si>
    <t>https://www.jedha.co/</t>
  </si>
  <si>
    <t>Final project indicative duration in the brief.</t>
  </si>
  <si>
    <t>Project buffer for unexpected effort and minor tooling costs.</t>
  </si>
  <si>
    <t>Internal project assumption</t>
  </si>
  <si>
    <t>Cloud / hosting monthly estimate (€)</t>
  </si>
  <si>
    <t>Illustrative SME-scale monthly infrastructure estimate.</t>
  </si>
  <si>
    <t>Domain / DNS / certificates monthly estimate (€)</t>
  </si>
  <si>
    <t>Illustrative recurring internet-facing service estimate.</t>
  </si>
  <si>
    <t>Monitoring / logging monthly estimate (€)</t>
  </si>
  <si>
    <t>Assumes open-source stack, self-hosted for MVP.</t>
  </si>
  <si>
    <t>Backup storage monthly estimate (€)</t>
  </si>
  <si>
    <t>Illustrative storage estimate for protected backups.</t>
  </si>
  <si>
    <t>Budget Summary</t>
  </si>
  <si>
    <t>Metric</t>
  </si>
  <si>
    <t>One-time people cost</t>
  </si>
  <si>
    <t>One-time infrastructure setup</t>
  </si>
  <si>
    <t>Estimated monthly run-rate</t>
  </si>
  <si>
    <t>Estimated annual run-rate</t>
  </si>
  <si>
    <t>• Initial budget includes people cost, one-time setup items, and contingency.</t>
  </si>
  <si>
    <t>• Run-rate estimates represent a simple monthly operating view for the MVP environment.</t>
  </si>
  <si>
    <t>• Values are illustrative and should be adjusted to match actual tooling, hosting, and team choices.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</si>
</sst>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;[Red]\(\€#,##0\);\-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666666"/>
      <name val="Calibri"/>
    </font>
    <font>
      <sz val="11"/>
      <color rgb="FF000000"/>
      <name val="Calibri"/>
    </font>
    <font>
      <sz val="11"/>
      <color rgb="FF0000FF"/>
      <name val="Calibri"/>
    </font>
    <font>
      <sz val="11"/>
      <color rgb="FF008000"/>
      <name val="Calibri"/>
    </font>
    <font>
      <sz val="11"/>
      <color rgb="FF666666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 style="medium">
        <color rgb="FF1F1F1F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4" fillId="3" borderId="0" xfId="0" applyNumberFormat="1" applyFont="1" applyFill="1"/>
    <xf numFmtId="1" fontId="4" fillId="3" borderId="0" xfId="0" applyNumberFormat="1" applyFont="1" applyFill="1"/>
    <xf numFmtId="165" fontId="4" fillId="3" borderId="0" xfId="0" applyNumberFormat="1" applyFont="1" applyFill="1"/>
    <xf numFmtId="0" fontId="1" fillId="2" borderId="0" xfId="0" applyFont="1" applyFill="1" applyAlignment="1">
      <alignment horizontal="center"/>
    </xf>
    <xf numFmtId="166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0" fontId="1" fillId="2" borderId="0" xfId="0" applyFont="1" applyFill="1"/>
    <xf numFmtId="164" fontId="3" fillId="0" borderId="0" xfId="0" applyNumberFormat="1" applyFont="1"/>
    <xf numFmtId="0" fontId="7" fillId="6" borderId="0" xfId="0" applyFont="1" applyFill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1924050</xdr:colOff>
      <xdr:row>50</xdr:row>
      <xdr:rowOff>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2209E45F-540B-9EE3-7236-3546DDAD106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opleBudget" displayName="PeopleBudget" ref="A10:F16">
  <autoFilter ref="A10:F16" xr:uid="{00000000-0009-0000-0100-000001000000}"/>
  <tableColumns count="6">
    <tableColumn id="1" xr3:uid="{00000000-0010-0000-0000-000001000000}" name="Workstream"/>
    <tableColumn id="2" xr3:uid="{00000000-0010-0000-0000-000002000000}" name="Owner / Role"/>
    <tableColumn id="3" xr3:uid="{00000000-0010-0000-0000-000003000000}" name="Days"/>
    <tableColumn id="4" xr3:uid="{00000000-0010-0000-0000-000004000000}" name="Rate (€ / day)"/>
    <tableColumn id="5" xr3:uid="{00000000-0010-0000-0000-000005000000}" name="Cost (€)"/>
    <tableColumn id="6" xr3:uid="{00000000-0010-0000-0000-000006000000}" name="Not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tupBudget" displayName="SetupBudget" ref="A20:F24">
  <autoFilter ref="A20:F24" xr:uid="{00000000-0009-0000-0100-000002000000}"/>
  <tableColumns count="6">
    <tableColumn id="1" xr3:uid="{00000000-0010-0000-0100-000001000000}" name="Item"/>
    <tableColumn id="2" xr3:uid="{00000000-0010-0000-0100-000002000000}" name="Category"/>
    <tableColumn id="3" xr3:uid="{00000000-0010-0000-0100-000003000000}" name="Quantity"/>
    <tableColumn id="4" xr3:uid="{00000000-0010-0000-0100-000004000000}" name="Unit Cost (€)"/>
    <tableColumn id="5" xr3:uid="{00000000-0010-0000-0100-000005000000}" name="Cost (€)"/>
    <tableColumn id="6" xr3:uid="{00000000-0010-0000-0100-000006000000}" name="Note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urringBudget" displayName="RecurringBudget" ref="A34:F38">
  <autoFilter ref="A34:F38" xr:uid="{00000000-0009-0000-0100-000003000000}"/>
  <tableColumns count="6">
    <tableColumn id="1" xr3:uid="{00000000-0010-0000-0200-000001000000}" name="Item"/>
    <tableColumn id="2" xr3:uid="{00000000-0010-0000-0200-000002000000}" name="Source"/>
    <tableColumn id="3" xr3:uid="{00000000-0010-0000-0200-000003000000}" name="Monthly Cost (€)"/>
    <tableColumn id="4" xr3:uid="{00000000-0010-0000-0200-000004000000}" name="Annualized (€)"/>
    <tableColumn id="5" xr3:uid="{00000000-0010-0000-0200-000005000000}" name="Type"/>
    <tableColumn id="6" xr3:uid="{00000000-0010-0000-0200-000006000000}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showGridLines="0" topLeftCell="A5" workbookViewId="0">
      <selection sqref="A1:F1"/>
    </sheetView>
  </sheetViews>
  <sheetFormatPr baseColWidth="10" defaultColWidth="9.140625" defaultRowHeight="15" x14ac:dyDescent="0.25"/>
  <cols>
    <col min="1" max="1" width="37.28515625" customWidth="1"/>
    <col min="2" max="2" width="24" customWidth="1"/>
    <col min="3" max="3" width="12" customWidth="1"/>
    <col min="4" max="5" width="16" customWidth="1"/>
    <col min="6" max="6" width="42" customWidth="1"/>
  </cols>
  <sheetData>
    <row r="1" spans="1:6" ht="21.95" customHeight="1" x14ac:dyDescent="0.25">
      <c r="A1" s="23" t="s">
        <v>0</v>
      </c>
      <c r="B1" s="21"/>
      <c r="C1" s="21"/>
      <c r="D1" s="21"/>
      <c r="E1" s="21"/>
      <c r="F1" s="21"/>
    </row>
    <row r="2" spans="1:6" x14ac:dyDescent="0.25">
      <c r="A2" s="22" t="s">
        <v>1</v>
      </c>
      <c r="B2" s="21"/>
      <c r="C2" s="21"/>
      <c r="D2" s="21"/>
      <c r="E2" s="21"/>
      <c r="F2" s="21"/>
    </row>
    <row r="3" spans="1:6" x14ac:dyDescent="0.25">
      <c r="A3" s="3"/>
    </row>
    <row r="4" spans="1:6" x14ac:dyDescent="0.25">
      <c r="A4" s="25" t="s">
        <v>2</v>
      </c>
      <c r="B4" s="21"/>
      <c r="C4" s="21"/>
    </row>
    <row r="5" spans="1:6" x14ac:dyDescent="0.25">
      <c r="A5" s="3" t="s">
        <v>3</v>
      </c>
      <c r="B5" s="4">
        <f>Assumptions!B5</f>
        <v>300</v>
      </c>
    </row>
    <row r="6" spans="1:6" x14ac:dyDescent="0.25">
      <c r="A6" s="3" t="s">
        <v>4</v>
      </c>
      <c r="B6" s="5">
        <f>Assumptions!B6</f>
        <v>10</v>
      </c>
    </row>
    <row r="7" spans="1:6" x14ac:dyDescent="0.25">
      <c r="A7" s="3" t="s">
        <v>5</v>
      </c>
      <c r="B7" s="6">
        <f>Assumptions!B7</f>
        <v>0.1</v>
      </c>
    </row>
    <row r="8" spans="1:6" x14ac:dyDescent="0.25">
      <c r="A8" s="3"/>
    </row>
    <row r="9" spans="1:6" ht="21.95" customHeight="1" x14ac:dyDescent="0.25">
      <c r="A9" s="23" t="s">
        <v>6</v>
      </c>
      <c r="B9" s="21"/>
      <c r="C9" s="21"/>
      <c r="D9" s="21"/>
      <c r="E9" s="21"/>
      <c r="F9" s="21"/>
    </row>
    <row r="10" spans="1:6" x14ac:dyDescent="0.25">
      <c r="A10" s="1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</row>
    <row r="11" spans="1:6" x14ac:dyDescent="0.25">
      <c r="A11" s="3" t="s">
        <v>13</v>
      </c>
      <c r="B11" t="s">
        <v>14</v>
      </c>
      <c r="C11" s="8">
        <v>2</v>
      </c>
      <c r="D11" s="9">
        <f t="shared" ref="D11:D16" si="0">$B$5</f>
        <v>300</v>
      </c>
      <c r="E11" s="9">
        <f t="shared" ref="E11:E16" si="1">C11*D11</f>
        <v>600</v>
      </c>
      <c r="F11" t="s">
        <v>15</v>
      </c>
    </row>
    <row r="12" spans="1:6" x14ac:dyDescent="0.25">
      <c r="A12" s="3" t="s">
        <v>16</v>
      </c>
      <c r="B12" t="s">
        <v>17</v>
      </c>
      <c r="C12" s="8">
        <v>3</v>
      </c>
      <c r="D12" s="9">
        <f t="shared" si="0"/>
        <v>300</v>
      </c>
      <c r="E12" s="9">
        <f t="shared" si="1"/>
        <v>900</v>
      </c>
      <c r="F12" t="s">
        <v>18</v>
      </c>
    </row>
    <row r="13" spans="1:6" x14ac:dyDescent="0.25">
      <c r="A13" s="3" t="s">
        <v>19</v>
      </c>
      <c r="B13" t="s">
        <v>20</v>
      </c>
      <c r="C13" s="8">
        <v>1.5</v>
      </c>
      <c r="D13" s="9">
        <f t="shared" si="0"/>
        <v>300</v>
      </c>
      <c r="E13" s="9">
        <f t="shared" si="1"/>
        <v>450</v>
      </c>
      <c r="F13" t="s">
        <v>21</v>
      </c>
    </row>
    <row r="14" spans="1:6" x14ac:dyDescent="0.25">
      <c r="A14" s="3" t="s">
        <v>22</v>
      </c>
      <c r="B14" t="s">
        <v>23</v>
      </c>
      <c r="C14" s="8">
        <v>1.5</v>
      </c>
      <c r="D14" s="9">
        <f t="shared" si="0"/>
        <v>300</v>
      </c>
      <c r="E14" s="9">
        <f t="shared" si="1"/>
        <v>450</v>
      </c>
      <c r="F14" t="s">
        <v>24</v>
      </c>
    </row>
    <row r="15" spans="1:6" x14ac:dyDescent="0.25">
      <c r="A15" s="3" t="s">
        <v>25</v>
      </c>
      <c r="B15" t="s">
        <v>26</v>
      </c>
      <c r="C15" s="8">
        <v>1</v>
      </c>
      <c r="D15" s="9">
        <f t="shared" si="0"/>
        <v>300</v>
      </c>
      <c r="E15" s="9">
        <f t="shared" si="1"/>
        <v>300</v>
      </c>
      <c r="F15" s="10"/>
    </row>
    <row r="16" spans="1:6" x14ac:dyDescent="0.25">
      <c r="A16" s="3" t="s">
        <v>27</v>
      </c>
      <c r="B16" t="s">
        <v>28</v>
      </c>
      <c r="C16" s="8">
        <v>1</v>
      </c>
      <c r="D16" s="9">
        <f t="shared" si="0"/>
        <v>300</v>
      </c>
      <c r="E16" s="9">
        <f t="shared" si="1"/>
        <v>300</v>
      </c>
      <c r="F16" t="s">
        <v>29</v>
      </c>
    </row>
    <row r="17" spans="1:6" x14ac:dyDescent="0.25">
      <c r="A17" s="11" t="s">
        <v>30</v>
      </c>
      <c r="E17" s="12">
        <f>SUM(E11:E16)</f>
        <v>3000</v>
      </c>
      <c r="F17" t="s">
        <v>31</v>
      </c>
    </row>
    <row r="18" spans="1:6" x14ac:dyDescent="0.25">
      <c r="A18" s="3"/>
    </row>
    <row r="19" spans="1:6" ht="21.95" customHeight="1" x14ac:dyDescent="0.25">
      <c r="A19" s="23" t="s">
        <v>32</v>
      </c>
      <c r="B19" s="21"/>
      <c r="C19" s="21"/>
      <c r="D19" s="21"/>
      <c r="E19" s="21"/>
      <c r="F19" s="21"/>
    </row>
    <row r="20" spans="1:6" x14ac:dyDescent="0.25">
      <c r="A20" s="1" t="s">
        <v>33</v>
      </c>
      <c r="B20" s="7" t="s">
        <v>34</v>
      </c>
      <c r="C20" s="7" t="s">
        <v>35</v>
      </c>
      <c r="D20" s="7" t="s">
        <v>36</v>
      </c>
      <c r="E20" s="7" t="s">
        <v>11</v>
      </c>
      <c r="F20" s="7" t="s">
        <v>12</v>
      </c>
    </row>
    <row r="21" spans="1:6" x14ac:dyDescent="0.25">
      <c r="A21" s="3" t="s">
        <v>37</v>
      </c>
      <c r="B21" t="s">
        <v>38</v>
      </c>
      <c r="C21" s="13">
        <v>1</v>
      </c>
      <c r="D21" s="10">
        <v>0</v>
      </c>
      <c r="E21" s="10">
        <f>C21*D21</f>
        <v>0</v>
      </c>
      <c r="F21" t="s">
        <v>39</v>
      </c>
    </row>
    <row r="22" spans="1:6" x14ac:dyDescent="0.25">
      <c r="A22" s="3" t="s">
        <v>40</v>
      </c>
      <c r="B22" t="s">
        <v>41</v>
      </c>
      <c r="C22" s="13">
        <v>1</v>
      </c>
      <c r="D22" s="10">
        <v>15</v>
      </c>
      <c r="E22" s="10">
        <f>C22*D22</f>
        <v>15</v>
      </c>
      <c r="F22" t="s">
        <v>42</v>
      </c>
    </row>
    <row r="23" spans="1:6" x14ac:dyDescent="0.25">
      <c r="A23" s="3" t="s">
        <v>43</v>
      </c>
      <c r="B23" t="s">
        <v>44</v>
      </c>
      <c r="C23" s="13">
        <v>1</v>
      </c>
      <c r="D23" s="10">
        <v>0</v>
      </c>
      <c r="E23" s="10">
        <f>C23*D23</f>
        <v>0</v>
      </c>
      <c r="F23" t="s">
        <v>45</v>
      </c>
    </row>
    <row r="24" spans="1:6" x14ac:dyDescent="0.25">
      <c r="A24" s="3" t="s">
        <v>46</v>
      </c>
      <c r="B24" t="s">
        <v>47</v>
      </c>
      <c r="C24" s="13">
        <v>1</v>
      </c>
      <c r="D24" s="10">
        <v>50</v>
      </c>
      <c r="E24" s="10">
        <f>C24*D24</f>
        <v>50</v>
      </c>
      <c r="F24" s="10"/>
    </row>
    <row r="25" spans="1:6" x14ac:dyDescent="0.25">
      <c r="A25" s="11" t="s">
        <v>48</v>
      </c>
      <c r="E25" s="12">
        <f>SUM(E21:E24)</f>
        <v>65</v>
      </c>
      <c r="F25" s="10"/>
    </row>
    <row r="26" spans="1:6" x14ac:dyDescent="0.25">
      <c r="A26" s="3"/>
      <c r="F26" s="10"/>
    </row>
    <row r="27" spans="1:6" ht="21.95" customHeight="1" x14ac:dyDescent="0.25">
      <c r="A27" s="24" t="s">
        <v>49</v>
      </c>
      <c r="B27" s="21"/>
      <c r="C27" s="21"/>
      <c r="D27" s="21"/>
      <c r="E27" s="21"/>
      <c r="F27" s="21"/>
    </row>
    <row r="28" spans="1:6" x14ac:dyDescent="0.25">
      <c r="A28" s="3" t="s">
        <v>50</v>
      </c>
      <c r="E28" s="10">
        <f>E17</f>
        <v>3000</v>
      </c>
    </row>
    <row r="29" spans="1:6" x14ac:dyDescent="0.25">
      <c r="A29" s="3" t="s">
        <v>51</v>
      </c>
      <c r="E29" s="10">
        <f>E25</f>
        <v>65</v>
      </c>
    </row>
    <row r="30" spans="1:6" x14ac:dyDescent="0.25">
      <c r="A30" s="3" t="s">
        <v>52</v>
      </c>
      <c r="E30" s="10">
        <f>ROUND((E17+E25)*$B$7,0)</f>
        <v>307</v>
      </c>
    </row>
    <row r="31" spans="1:6" x14ac:dyDescent="0.25">
      <c r="A31" s="11" t="s">
        <v>53</v>
      </c>
      <c r="E31" s="12">
        <f>SUM(E28:E30)</f>
        <v>3372</v>
      </c>
      <c r="F31" s="10"/>
    </row>
    <row r="32" spans="1:6" x14ac:dyDescent="0.25">
      <c r="A32" s="3"/>
      <c r="F32" s="10"/>
    </row>
    <row r="33" spans="1:6" ht="21.95" customHeight="1" x14ac:dyDescent="0.25">
      <c r="A33" s="23" t="s">
        <v>54</v>
      </c>
      <c r="B33" s="21"/>
      <c r="C33" s="21"/>
      <c r="D33" s="21"/>
      <c r="E33" s="21"/>
      <c r="F33" s="21"/>
    </row>
    <row r="34" spans="1:6" x14ac:dyDescent="0.25">
      <c r="A34" s="1" t="s">
        <v>33</v>
      </c>
      <c r="B34" s="7" t="s">
        <v>55</v>
      </c>
      <c r="C34" s="7" t="s">
        <v>56</v>
      </c>
      <c r="D34" s="7" t="s">
        <v>57</v>
      </c>
      <c r="E34" s="7" t="s">
        <v>58</v>
      </c>
      <c r="F34" s="7" t="s">
        <v>12</v>
      </c>
    </row>
    <row r="35" spans="1:6" x14ac:dyDescent="0.25">
      <c r="A35" s="3" t="s">
        <v>59</v>
      </c>
      <c r="B35" s="14" t="str">
        <f>Assumptions!D8</f>
        <v>Internal project assumption</v>
      </c>
      <c r="C35" s="10">
        <f>Assumptions!B8</f>
        <v>60</v>
      </c>
      <c r="D35" s="10">
        <f>C35*12</f>
        <v>720</v>
      </c>
      <c r="E35" t="s">
        <v>60</v>
      </c>
      <c r="F35" t="s">
        <v>61</v>
      </c>
    </row>
    <row r="36" spans="1:6" x14ac:dyDescent="0.25">
      <c r="A36" s="3" t="s">
        <v>62</v>
      </c>
      <c r="B36" s="14" t="str">
        <f>Assumptions!D9</f>
        <v>Internal project assumption</v>
      </c>
      <c r="C36" s="10">
        <f>Assumptions!B9</f>
        <v>15</v>
      </c>
      <c r="D36" s="10">
        <f>C36*12</f>
        <v>180</v>
      </c>
      <c r="E36" t="s">
        <v>60</v>
      </c>
      <c r="F36" t="s">
        <v>63</v>
      </c>
    </row>
    <row r="37" spans="1:6" x14ac:dyDescent="0.25">
      <c r="A37" s="3" t="s">
        <v>64</v>
      </c>
      <c r="B37" s="14" t="str">
        <f>Assumptions!D10</f>
        <v>Internal project assumption</v>
      </c>
      <c r="C37" s="10">
        <f>Assumptions!B10</f>
        <v>0</v>
      </c>
      <c r="D37" s="10">
        <f>C37*12</f>
        <v>0</v>
      </c>
      <c r="E37" t="s">
        <v>60</v>
      </c>
      <c r="F37" t="s">
        <v>65</v>
      </c>
    </row>
    <row r="38" spans="1:6" x14ac:dyDescent="0.25">
      <c r="A38" s="3" t="s">
        <v>66</v>
      </c>
      <c r="B38" s="14" t="str">
        <f>Assumptions!D11</f>
        <v>Internal project assumption</v>
      </c>
      <c r="C38" s="10">
        <f>Assumptions!B11</f>
        <v>20</v>
      </c>
      <c r="D38" s="10">
        <f>C38*12</f>
        <v>240</v>
      </c>
      <c r="E38" t="s">
        <v>60</v>
      </c>
      <c r="F38" t="s">
        <v>67</v>
      </c>
    </row>
    <row r="39" spans="1:6" x14ac:dyDescent="0.25">
      <c r="A39" s="11" t="s">
        <v>68</v>
      </c>
      <c r="C39" s="12">
        <f>SUM(C35:C38)</f>
        <v>95</v>
      </c>
      <c r="D39" s="12">
        <f>SUM(D35:D38)</f>
        <v>1140</v>
      </c>
    </row>
    <row r="40" spans="1:6" x14ac:dyDescent="0.25">
      <c r="A40" s="3"/>
    </row>
    <row r="41" spans="1:6" ht="21.95" customHeight="1" x14ac:dyDescent="0.25">
      <c r="A41" s="20" t="s">
        <v>69</v>
      </c>
      <c r="B41" s="21"/>
      <c r="C41" s="21"/>
      <c r="D41" s="21"/>
      <c r="E41" s="21"/>
      <c r="F41" s="21"/>
    </row>
    <row r="42" spans="1:6" x14ac:dyDescent="0.25">
      <c r="A42" s="22" t="s">
        <v>70</v>
      </c>
      <c r="B42" s="21"/>
      <c r="C42" s="21"/>
      <c r="D42" s="21"/>
      <c r="E42" s="21"/>
      <c r="F42" s="21"/>
    </row>
    <row r="43" spans="1:6" x14ac:dyDescent="0.25">
      <c r="A43" s="22" t="s">
        <v>71</v>
      </c>
      <c r="B43" s="21"/>
      <c r="C43" s="21"/>
      <c r="D43" s="21"/>
      <c r="E43" s="21"/>
      <c r="F43" s="21"/>
    </row>
    <row r="44" spans="1:6" x14ac:dyDescent="0.25">
      <c r="A44" s="22" t="s">
        <v>72</v>
      </c>
      <c r="B44" s="21"/>
      <c r="C44" s="21"/>
      <c r="D44" s="21"/>
      <c r="E44" s="21"/>
      <c r="F44" s="21"/>
    </row>
  </sheetData>
  <mergeCells count="11">
    <mergeCell ref="A44:F44"/>
    <mergeCell ref="A1:F1"/>
    <mergeCell ref="A9:F9"/>
    <mergeCell ref="A27:F27"/>
    <mergeCell ref="A4:C4"/>
    <mergeCell ref="A43:F43"/>
    <mergeCell ref="A41:F41"/>
    <mergeCell ref="A2:F2"/>
    <mergeCell ref="A33:F33"/>
    <mergeCell ref="A42:F42"/>
    <mergeCell ref="A19:F1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tabSelected="1" workbookViewId="0">
      <selection sqref="A1:D1"/>
    </sheetView>
  </sheetViews>
  <sheetFormatPr baseColWidth="10" defaultColWidth="9.140625" defaultRowHeight="15" x14ac:dyDescent="0.25"/>
  <cols>
    <col min="1" max="1" width="34" customWidth="1"/>
    <col min="2" max="2" width="16" customWidth="1"/>
    <col min="3" max="3" width="64" customWidth="1"/>
    <col min="4" max="4" width="32" customWidth="1"/>
  </cols>
  <sheetData>
    <row r="1" spans="1:4" x14ac:dyDescent="0.25">
      <c r="A1" s="23" t="s">
        <v>73</v>
      </c>
      <c r="B1" s="21"/>
      <c r="C1" s="21"/>
      <c r="D1" s="21"/>
    </row>
    <row r="2" spans="1:4" x14ac:dyDescent="0.25">
      <c r="A2" s="2" t="s">
        <v>74</v>
      </c>
    </row>
    <row r="3" spans="1:4" x14ac:dyDescent="0.25">
      <c r="A3" s="3"/>
    </row>
    <row r="4" spans="1:4" x14ac:dyDescent="0.25">
      <c r="A4" s="1" t="s">
        <v>75</v>
      </c>
      <c r="B4" s="7" t="s">
        <v>76</v>
      </c>
      <c r="C4" s="7" t="s">
        <v>77</v>
      </c>
      <c r="D4" s="7" t="s">
        <v>55</v>
      </c>
    </row>
    <row r="5" spans="1:4" x14ac:dyDescent="0.25">
      <c r="A5" s="15" t="s">
        <v>3</v>
      </c>
      <c r="B5" s="4">
        <v>300</v>
      </c>
      <c r="C5" s="16" t="s">
        <v>78</v>
      </c>
      <c r="D5" s="14" t="s">
        <v>79</v>
      </c>
    </row>
    <row r="6" spans="1:4" x14ac:dyDescent="0.25">
      <c r="A6" s="15" t="s">
        <v>4</v>
      </c>
      <c r="B6" s="5">
        <v>10</v>
      </c>
      <c r="C6" s="16" t="s">
        <v>80</v>
      </c>
      <c r="D6" s="14" t="s">
        <v>79</v>
      </c>
    </row>
    <row r="7" spans="1:4" x14ac:dyDescent="0.25">
      <c r="A7" s="15" t="s">
        <v>5</v>
      </c>
      <c r="B7" s="6">
        <v>0.1</v>
      </c>
      <c r="C7" s="16" t="s">
        <v>81</v>
      </c>
      <c r="D7" s="17" t="s">
        <v>82</v>
      </c>
    </row>
    <row r="8" spans="1:4" x14ac:dyDescent="0.25">
      <c r="A8" s="15" t="s">
        <v>83</v>
      </c>
      <c r="B8" s="4">
        <v>60</v>
      </c>
      <c r="C8" s="16" t="s">
        <v>84</v>
      </c>
      <c r="D8" s="17" t="s">
        <v>82</v>
      </c>
    </row>
    <row r="9" spans="1:4" x14ac:dyDescent="0.25">
      <c r="A9" s="15" t="s">
        <v>85</v>
      </c>
      <c r="B9" s="4">
        <v>15</v>
      </c>
      <c r="C9" s="16" t="s">
        <v>86</v>
      </c>
      <c r="D9" s="17" t="s">
        <v>82</v>
      </c>
    </row>
    <row r="10" spans="1:4" x14ac:dyDescent="0.25">
      <c r="A10" s="15" t="s">
        <v>87</v>
      </c>
      <c r="B10" s="4">
        <v>0</v>
      </c>
      <c r="C10" s="16" t="s">
        <v>88</v>
      </c>
      <c r="D10" s="17" t="s">
        <v>82</v>
      </c>
    </row>
    <row r="11" spans="1:4" x14ac:dyDescent="0.25">
      <c r="A11" s="15" t="s">
        <v>89</v>
      </c>
      <c r="B11" s="4">
        <v>20</v>
      </c>
      <c r="C11" s="16" t="s">
        <v>90</v>
      </c>
      <c r="D11" s="17" t="s">
        <v>82</v>
      </c>
    </row>
  </sheetData>
  <mergeCells count="1">
    <mergeCell ref="A1:D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workbookViewId="0"/>
  </sheetViews>
  <sheetFormatPr baseColWidth="10" defaultColWidth="9.140625" defaultRowHeight="15" x14ac:dyDescent="0.25"/>
  <cols>
    <col min="1" max="1" width="42" customWidth="1"/>
    <col min="2" max="2" width="18" customWidth="1"/>
  </cols>
  <sheetData>
    <row r="1" spans="1:2" x14ac:dyDescent="0.25">
      <c r="A1" s="23" t="s">
        <v>91</v>
      </c>
      <c r="B1" s="21"/>
    </row>
    <row r="2" spans="1:2" x14ac:dyDescent="0.25">
      <c r="A2" s="3"/>
    </row>
    <row r="3" spans="1:2" x14ac:dyDescent="0.25">
      <c r="A3" s="1" t="s">
        <v>92</v>
      </c>
      <c r="B3" s="18" t="s">
        <v>76</v>
      </c>
    </row>
    <row r="4" spans="1:2" x14ac:dyDescent="0.25">
      <c r="A4" s="3" t="s">
        <v>93</v>
      </c>
      <c r="B4" s="19">
        <f>Budget_Estimate!E17</f>
        <v>3000</v>
      </c>
    </row>
    <row r="5" spans="1:2" x14ac:dyDescent="0.25">
      <c r="A5" s="3" t="s">
        <v>94</v>
      </c>
      <c r="B5" s="19">
        <f>Budget_Estimate!E25</f>
        <v>65</v>
      </c>
    </row>
    <row r="6" spans="1:2" x14ac:dyDescent="0.25">
      <c r="A6" s="3" t="s">
        <v>52</v>
      </c>
      <c r="B6" s="19">
        <f>Budget_Estimate!E30</f>
        <v>307</v>
      </c>
    </row>
    <row r="7" spans="1:2" x14ac:dyDescent="0.25">
      <c r="A7" s="3" t="s">
        <v>53</v>
      </c>
      <c r="B7" s="19">
        <f>Budget_Estimate!E31</f>
        <v>3372</v>
      </c>
    </row>
    <row r="8" spans="1:2" x14ac:dyDescent="0.25">
      <c r="A8" s="3" t="s">
        <v>95</v>
      </c>
      <c r="B8" s="19">
        <f>Budget_Estimate!C39</f>
        <v>95</v>
      </c>
    </row>
    <row r="9" spans="1:2" x14ac:dyDescent="0.25">
      <c r="A9" s="3" t="s">
        <v>96</v>
      </c>
      <c r="B9" s="19">
        <f>Budget_Estimate!D39</f>
        <v>1140</v>
      </c>
    </row>
    <row r="10" spans="1:2" x14ac:dyDescent="0.25">
      <c r="A10" s="25" t="s">
        <v>12</v>
      </c>
      <c r="B10" s="21"/>
    </row>
    <row r="11" spans="1:2" x14ac:dyDescent="0.25">
      <c r="A11" s="22" t="s">
        <v>97</v>
      </c>
      <c r="B11" s="21"/>
    </row>
    <row r="12" spans="1:2" x14ac:dyDescent="0.25">
      <c r="A12" s="22" t="s">
        <v>98</v>
      </c>
      <c r="B12" s="21"/>
    </row>
    <row r="13" spans="1:2" x14ac:dyDescent="0.25">
      <c r="A13" s="22" t="s">
        <v>99</v>
      </c>
      <c r="B13" s="21"/>
    </row>
  </sheetData>
  <mergeCells count="5">
    <mergeCell ref="A11:B11"/>
    <mergeCell ref="A10:B10"/>
    <mergeCell ref="A13:B13"/>
    <mergeCell ref="A1:B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Budget_Estimate</vt:lpstr>
      <vt:lpstr>Assumptions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Rattanamongkhoun</cp:lastModifiedBy>
  <dcterms:modified xsi:type="dcterms:W3CDTF">2026-04-11T22:23:27Z</dcterms:modified>
</cp:coreProperties>
</file>