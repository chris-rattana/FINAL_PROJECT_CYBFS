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ris\Desktop\FINAL_PROJECT_CYBFS\04_Project_Management\"/>
    </mc:Choice>
  </mc:AlternateContent>
  <xr:revisionPtr revIDLastSave="0" documentId="13_ncr:1_{37253C68-2093-47E6-818B-977BBCCDFCFA}" xr6:coauthVersionLast="47" xr6:coauthVersionMax="47" xr10:uidLastSave="{00000000-0000-0000-0000-000000000000}"/>
  <bookViews>
    <workbookView xWindow="28680" yWindow="0" windowWidth="29040" windowHeight="15720" xr2:uid="{00000000-000D-0000-FFFF-FFFF00000000}"/>
  </bookViews>
  <sheets>
    <sheet name="Roadmap_Gantt" sheetId="1" r:id="rId1"/>
    <sheet name="Milestones" sheetId="2" r:id="rId2"/>
    <sheet name="How_to_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1" l="1"/>
  <c r="S17" i="1"/>
  <c r="R17" i="1"/>
  <c r="Q17" i="1"/>
  <c r="P17" i="1"/>
  <c r="O17" i="1"/>
  <c r="N17" i="1"/>
  <c r="M17" i="1"/>
  <c r="L17" i="1"/>
  <c r="K17" i="1"/>
  <c r="I17" i="1"/>
  <c r="T16" i="1"/>
  <c r="S16" i="1"/>
  <c r="R16" i="1"/>
  <c r="Q16" i="1"/>
  <c r="P16" i="1"/>
  <c r="O16" i="1"/>
  <c r="N16" i="1"/>
  <c r="M16" i="1"/>
  <c r="L16" i="1"/>
  <c r="K16" i="1"/>
  <c r="I16" i="1"/>
  <c r="T15" i="1"/>
  <c r="S15" i="1"/>
  <c r="R15" i="1"/>
  <c r="Q15" i="1"/>
  <c r="P15" i="1"/>
  <c r="O15" i="1"/>
  <c r="N15" i="1"/>
  <c r="M15" i="1"/>
  <c r="L15" i="1"/>
  <c r="K15" i="1"/>
  <c r="I15" i="1"/>
  <c r="T14" i="1"/>
  <c r="S14" i="1"/>
  <c r="R14" i="1"/>
  <c r="Q14" i="1"/>
  <c r="P14" i="1"/>
  <c r="O14" i="1"/>
  <c r="N14" i="1"/>
  <c r="M14" i="1"/>
  <c r="L14" i="1"/>
  <c r="K14" i="1"/>
  <c r="I14" i="1"/>
  <c r="T13" i="1"/>
  <c r="S13" i="1"/>
  <c r="R13" i="1"/>
  <c r="Q13" i="1"/>
  <c r="P13" i="1"/>
  <c r="O13" i="1"/>
  <c r="N13" i="1"/>
  <c r="M13" i="1"/>
  <c r="L13" i="1"/>
  <c r="K13" i="1"/>
  <c r="I13" i="1"/>
  <c r="T12" i="1"/>
  <c r="S12" i="1"/>
  <c r="R12" i="1"/>
  <c r="Q12" i="1"/>
  <c r="P12" i="1"/>
  <c r="O12" i="1"/>
  <c r="N12" i="1"/>
  <c r="M12" i="1"/>
  <c r="L12" i="1"/>
  <c r="K12" i="1"/>
  <c r="I12" i="1"/>
  <c r="T11" i="1"/>
  <c r="S11" i="1"/>
  <c r="R11" i="1"/>
  <c r="Q11" i="1"/>
  <c r="P11" i="1"/>
  <c r="O11" i="1"/>
  <c r="N11" i="1"/>
  <c r="M11" i="1"/>
  <c r="L11" i="1"/>
  <c r="K11" i="1"/>
  <c r="I11" i="1"/>
  <c r="T10" i="1"/>
  <c r="S10" i="1"/>
  <c r="R10" i="1"/>
  <c r="Q10" i="1"/>
  <c r="P10" i="1"/>
  <c r="O10" i="1"/>
  <c r="N10" i="1"/>
  <c r="M10" i="1"/>
  <c r="L10" i="1"/>
  <c r="K10" i="1"/>
  <c r="I10" i="1"/>
  <c r="T9" i="1"/>
  <c r="S9" i="1"/>
  <c r="R9" i="1"/>
  <c r="Q9" i="1"/>
  <c r="P9" i="1"/>
  <c r="O9" i="1"/>
  <c r="N9" i="1"/>
  <c r="M9" i="1"/>
  <c r="L9" i="1"/>
  <c r="K9" i="1"/>
  <c r="I9" i="1"/>
  <c r="T8" i="1"/>
  <c r="S8" i="1"/>
  <c r="R8" i="1"/>
  <c r="Q8" i="1"/>
  <c r="P8" i="1"/>
  <c r="O8" i="1"/>
  <c r="N8" i="1"/>
  <c r="M8" i="1"/>
  <c r="L8" i="1"/>
  <c r="K8" i="1"/>
  <c r="I8" i="1"/>
  <c r="T7" i="1"/>
  <c r="S7" i="1"/>
  <c r="R7" i="1"/>
  <c r="Q7" i="1"/>
  <c r="P7" i="1"/>
  <c r="O7" i="1"/>
  <c r="N7" i="1"/>
  <c r="M7" i="1"/>
  <c r="L7" i="1"/>
  <c r="K7" i="1"/>
  <c r="I7" i="1"/>
  <c r="T6" i="1"/>
  <c r="S6" i="1"/>
  <c r="R6" i="1"/>
  <c r="Q6" i="1"/>
  <c r="P6" i="1"/>
  <c r="O6" i="1"/>
  <c r="N6" i="1"/>
  <c r="M6" i="1"/>
  <c r="L6" i="1"/>
  <c r="K6" i="1"/>
  <c r="I6" i="1"/>
  <c r="T5" i="1"/>
  <c r="S5" i="1"/>
  <c r="R5" i="1"/>
  <c r="Q5" i="1"/>
  <c r="P5" i="1"/>
  <c r="O5" i="1"/>
  <c r="N5" i="1"/>
  <c r="M5" i="1"/>
  <c r="L5" i="1"/>
  <c r="K5" i="1"/>
  <c r="I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Editable template generated for the CYBFS project roadmap/Gantt.</t>
        </r>
      </text>
    </comment>
    <comment ref="G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Use day numbers 1 to 10 to match the official project timeline.</t>
        </r>
      </text>
    </comment>
  </commentList>
</comments>
</file>

<file path=xl/sharedStrings.xml><?xml version="1.0" encoding="utf-8"?>
<sst xmlns="http://schemas.openxmlformats.org/spreadsheetml/2006/main" count="172" uniqueCount="95">
  <si>
    <t>Final Project CYBFS — Roadmap &amp; Gantt</t>
  </si>
  <si>
    <t>10-day execution plan aligned with the official final project timeline</t>
  </si>
  <si>
    <t>Legend</t>
  </si>
  <si>
    <t>Planned</t>
  </si>
  <si>
    <t>In Progress</t>
  </si>
  <si>
    <t>Done</t>
  </si>
  <si>
    <t>Blocked</t>
  </si>
  <si>
    <t>Phase</t>
  </si>
  <si>
    <t>Task ID</t>
  </si>
  <si>
    <t>Task</t>
  </si>
  <si>
    <t>Owner</t>
  </si>
  <si>
    <t>Priority</t>
  </si>
  <si>
    <t>Status</t>
  </si>
  <si>
    <t>Start Day</t>
  </si>
  <si>
    <t>End Day</t>
  </si>
  <si>
    <t>Duration</t>
  </si>
  <si>
    <t>Dependency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</si>
  <si>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</si>
  <si>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</si>
  <si>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</si>
  <si>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</si>
  <si>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</si>
  <si>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</si>
  <si>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</si>
  <si>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</si>
  <si>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</si>
  <si>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</si>
  <si>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Initiation</t>
  </si>
  <si>
    <t>PM-01</t>
  </si>
  <si>
    <t>Finalize company profile, business context, PRD and MVP</t>
  </si>
  <si>
    <t>Chris</t>
  </si>
  <si>
    <t>High</t>
  </si>
  <si>
    <t/>
  </si>
  <si>
    <t>Specification</t>
  </si>
  <si>
    <t>TS-01</t>
  </si>
  <si>
    <t>Complete technical specification (architecture, risks, security, backup)</t>
  </si>
  <si>
    <t>Deployment</t>
  </si>
  <si>
    <t>INF-01</t>
  </si>
  <si>
    <t>Deploy AD / IAM and test user-group logic</t>
  </si>
  <si>
    <t>INF-02</t>
  </si>
  <si>
    <t>Deploy Web Server and validate service availability</t>
  </si>
  <si>
    <t>INF-03</t>
  </si>
  <si>
    <t>Deploy Database and validate app connectivity</t>
  </si>
  <si>
    <t>INF-04</t>
  </si>
  <si>
    <t>Deploy File Server / Nextcloud and validate access</t>
  </si>
  <si>
    <t>Security</t>
  </si>
  <si>
    <t>SEC-01</t>
  </si>
  <si>
    <t>Configure firewall, VPN and service exposure controls</t>
  </si>
  <si>
    <t>Resilience</t>
  </si>
  <si>
    <t>OPS-01</t>
  </si>
  <si>
    <t>Configure monitoring and backup workflow</t>
  </si>
  <si>
    <t>Medium</t>
  </si>
  <si>
    <t>Validation</t>
  </si>
  <si>
    <t>VAL-01</t>
  </si>
  <si>
    <t>Run deployment test cases and collect screenshots / proofs</t>
  </si>
  <si>
    <t>INF-01, INF-02, INF-03, INF-04, SEC-01, OPS-01</t>
  </si>
  <si>
    <t>Blue Team</t>
  </si>
  <si>
    <t>BT-01</t>
  </si>
  <si>
    <t>Complete Blue Team case with findings, remediation and retest</t>
  </si>
  <si>
    <t>Red Team</t>
  </si>
  <si>
    <t>RT-01</t>
  </si>
  <si>
    <t>Complete pentest scope, findings, remediation and retest</t>
  </si>
  <si>
    <t>Project Mgmt</t>
  </si>
  <si>
    <t>PM-02</t>
  </si>
  <si>
    <t>Finalize Kanban export, roles, retrospective, roadmap and budget</t>
  </si>
  <si>
    <t>Delivery</t>
  </si>
  <si>
    <t>DEL-01</t>
  </si>
  <si>
    <t>Write technology watch report and prepare final presentation</t>
  </si>
  <si>
    <t>BT-01, RT-01, PM-02</t>
  </si>
  <si>
    <t>Milestones</t>
  </si>
  <si>
    <t>Milestone</t>
  </si>
  <si>
    <t>Target Day</t>
  </si>
  <si>
    <t>Deliverable Link</t>
  </si>
  <si>
    <t>Notes</t>
  </si>
  <si>
    <t>Context + PRD completed</t>
  </si>
  <si>
    <t>01_Context_PRD/</t>
  </si>
  <si>
    <t>Technical specification completed</t>
  </si>
  <si>
    <t>02_Technical_Specification/</t>
  </si>
  <si>
    <t>Core infrastructure deployed</t>
  </si>
  <si>
    <t>03_Infrastructure_Deployment/</t>
  </si>
  <si>
    <t>Validation + evidence collected</t>
  </si>
  <si>
    <t>Blue Team + Red Team completed</t>
  </si>
  <si>
    <t>05_Blue_Team/ + 06_Red_Team/</t>
  </si>
  <si>
    <t>Project management finalized</t>
  </si>
  <si>
    <t>04_Project_Management/</t>
  </si>
  <si>
    <t>Technology watch + presentation ready</t>
  </si>
  <si>
    <t>07_Technology_Watch/ + 08_Final_Presentation/</t>
  </si>
  <si>
    <t>How to use this roadmap</t>
  </si>
  <si>
    <t>1. Update Owner, Status, Start Day and End Day as the project advances.</t>
  </si>
  <si>
    <t>2. The Duration column is calculated automatically.</t>
  </si>
  <si>
    <t>3. The Gantt bar fills automatically from Start Day to End Day.</t>
  </si>
  <si>
    <t>4. Replace the placeholder 'Chris' with the real owner(s) if needed.</t>
  </si>
  <si>
    <t>5. You can add rows for extra tasks; copy formulas from an existing row.</t>
  </si>
  <si>
    <t>6. Recommended evidence: export or screenshot this sheet once mid-project and once before final delivery.</t>
  </si>
  <si>
    <t>Status 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</si>
</sst>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0404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DE9E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9"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  <dxf>
      <fill>
        <patternFill>
          <bgColor rgb="FF9DC3E6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523875</xdr:colOff>
      <xdr:row>33</xdr:row>
      <xdr:rowOff>66675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3A1C1FCF-369A-EA85-83F0-57CB160C3E6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showGridLines="0" tabSelected="1" workbookViewId="0">
      <selection sqref="A1:T1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48" customWidth="1"/>
    <col min="4" max="4" width="14" customWidth="1"/>
    <col min="5" max="5" width="11" customWidth="1"/>
    <col min="6" max="6" width="14" customWidth="1"/>
    <col min="7" max="9" width="10" customWidth="1"/>
    <col min="10" max="10" width="22" customWidth="1"/>
    <col min="11" max="20" width="9" customWidth="1"/>
  </cols>
  <sheetData>
    <row r="1" spans="1:20" ht="21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x14ac:dyDescent="0.25">
      <c r="A2" s="20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x14ac:dyDescent="0.25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</row>
    <row r="4" spans="1:20" x14ac:dyDescent="0.25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  <c r="I4" s="6" t="s">
        <v>15</v>
      </c>
      <c r="J4" s="6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  <c r="T4" s="7" t="s">
        <v>26</v>
      </c>
    </row>
    <row r="5" spans="1:20" ht="33.950000000000003" customHeight="1" x14ac:dyDescent="0.25">
      <c r="A5" s="8" t="s">
        <v>27</v>
      </c>
      <c r="B5" s="8" t="s">
        <v>28</v>
      </c>
      <c r="C5" s="9" t="s">
        <v>29</v>
      </c>
      <c r="D5" s="8" t="s">
        <v>30</v>
      </c>
      <c r="E5" s="8" t="s">
        <v>31</v>
      </c>
      <c r="F5" s="8" t="s">
        <v>5</v>
      </c>
      <c r="G5" s="8">
        <v>1</v>
      </c>
      <c r="H5" s="8">
        <v>2</v>
      </c>
      <c r="I5" s="8">
        <f t="shared" ref="I5:I17" si="0">H5-G5+1</f>
        <v>2</v>
      </c>
      <c r="J5" s="9" t="s">
        <v>32</v>
      </c>
      <c r="K5" s="10">
        <f t="shared" ref="K5:K17" si="1">IF(AND(1&gt;=$G5,1&lt;=$H5),1,"")</f>
        <v>1</v>
      </c>
      <c r="L5" s="10">
        <f t="shared" ref="L5:L17" si="2">IF(AND(2&gt;=$G5,2&lt;=$H5),1,"")</f>
        <v>1</v>
      </c>
      <c r="M5" s="10" t="str">
        <f t="shared" ref="M5:M17" si="3">IF(AND(3&gt;=$G5,3&lt;=$H5),1,"")</f>
        <v/>
      </c>
      <c r="N5" s="10" t="str">
        <f t="shared" ref="N5:N17" si="4">IF(AND(4&gt;=$G5,4&lt;=$H5),1,"")</f>
        <v/>
      </c>
      <c r="O5" s="10" t="str">
        <f t="shared" ref="O5:O17" si="5">IF(AND(5&gt;=$G5,5&lt;=$H5),1,"")</f>
        <v/>
      </c>
      <c r="P5" s="10" t="str">
        <f t="shared" ref="P5:P17" si="6">IF(AND(6&gt;=$G5,6&lt;=$H5),1,"")</f>
        <v/>
      </c>
      <c r="Q5" s="10" t="str">
        <f t="shared" ref="Q5:Q17" si="7">IF(AND(7&gt;=$G5,7&lt;=$H5),1,"")</f>
        <v/>
      </c>
      <c r="R5" s="10" t="str">
        <f t="shared" ref="R5:R17" si="8">IF(AND(8&gt;=$G5,8&lt;=$H5),1,"")</f>
        <v/>
      </c>
      <c r="S5" s="10" t="str">
        <f t="shared" ref="S5:S17" si="9">IF(AND(9&gt;=$G5,9&lt;=$H5),1,"")</f>
        <v/>
      </c>
      <c r="T5" s="10" t="str">
        <f t="shared" ref="T5:T17" si="10">IF(AND(10&gt;=$G5,10&lt;=$H5),1,"")</f>
        <v/>
      </c>
    </row>
    <row r="6" spans="1:20" ht="33.950000000000003" customHeight="1" x14ac:dyDescent="0.25">
      <c r="A6" s="8" t="s">
        <v>33</v>
      </c>
      <c r="B6" s="8" t="s">
        <v>34</v>
      </c>
      <c r="C6" s="9" t="s">
        <v>35</v>
      </c>
      <c r="D6" s="8" t="s">
        <v>30</v>
      </c>
      <c r="E6" s="8" t="s">
        <v>31</v>
      </c>
      <c r="F6" s="8" t="s">
        <v>4</v>
      </c>
      <c r="G6" s="8">
        <v>1</v>
      </c>
      <c r="H6" s="8">
        <v>4</v>
      </c>
      <c r="I6" s="8">
        <f t="shared" si="0"/>
        <v>4</v>
      </c>
      <c r="J6" s="9" t="s">
        <v>28</v>
      </c>
      <c r="K6" s="10">
        <f t="shared" si="1"/>
        <v>1</v>
      </c>
      <c r="L6" s="10">
        <f t="shared" si="2"/>
        <v>1</v>
      </c>
      <c r="M6" s="10">
        <f t="shared" si="3"/>
        <v>1</v>
      </c>
      <c r="N6" s="10">
        <f t="shared" si="4"/>
        <v>1</v>
      </c>
      <c r="O6" s="10" t="str">
        <f t="shared" si="5"/>
        <v/>
      </c>
      <c r="P6" s="10" t="str">
        <f t="shared" si="6"/>
        <v/>
      </c>
      <c r="Q6" s="10" t="str">
        <f t="shared" si="7"/>
        <v/>
      </c>
      <c r="R6" s="10" t="str">
        <f t="shared" si="8"/>
        <v/>
      </c>
      <c r="S6" s="10" t="str">
        <f t="shared" si="9"/>
        <v/>
      </c>
      <c r="T6" s="10" t="str">
        <f t="shared" si="10"/>
        <v/>
      </c>
    </row>
    <row r="7" spans="1:20" ht="33.950000000000003" customHeight="1" x14ac:dyDescent="0.25">
      <c r="A7" s="8" t="s">
        <v>36</v>
      </c>
      <c r="B7" s="8" t="s">
        <v>37</v>
      </c>
      <c r="C7" s="9" t="s">
        <v>38</v>
      </c>
      <c r="D7" s="8" t="s">
        <v>30</v>
      </c>
      <c r="E7" s="8" t="s">
        <v>31</v>
      </c>
      <c r="F7" s="8" t="s">
        <v>3</v>
      </c>
      <c r="G7" s="8">
        <v>2</v>
      </c>
      <c r="H7" s="8">
        <v>5</v>
      </c>
      <c r="I7" s="8">
        <f t="shared" si="0"/>
        <v>4</v>
      </c>
      <c r="J7" s="9" t="s">
        <v>34</v>
      </c>
      <c r="K7" s="10" t="str">
        <f t="shared" si="1"/>
        <v/>
      </c>
      <c r="L7" s="10">
        <f t="shared" si="2"/>
        <v>1</v>
      </c>
      <c r="M7" s="10">
        <f t="shared" si="3"/>
        <v>1</v>
      </c>
      <c r="N7" s="10">
        <f t="shared" si="4"/>
        <v>1</v>
      </c>
      <c r="O7" s="10">
        <f t="shared" si="5"/>
        <v>1</v>
      </c>
      <c r="P7" s="10" t="str">
        <f t="shared" si="6"/>
        <v/>
      </c>
      <c r="Q7" s="10" t="str">
        <f t="shared" si="7"/>
        <v/>
      </c>
      <c r="R7" s="10" t="str">
        <f t="shared" si="8"/>
        <v/>
      </c>
      <c r="S7" s="10" t="str">
        <f t="shared" si="9"/>
        <v/>
      </c>
      <c r="T7" s="10" t="str">
        <f t="shared" si="10"/>
        <v/>
      </c>
    </row>
    <row r="8" spans="1:20" ht="33.950000000000003" customHeight="1" x14ac:dyDescent="0.25">
      <c r="A8" s="8" t="s">
        <v>36</v>
      </c>
      <c r="B8" s="8" t="s">
        <v>39</v>
      </c>
      <c r="C8" s="9" t="s">
        <v>40</v>
      </c>
      <c r="D8" s="8" t="s">
        <v>30</v>
      </c>
      <c r="E8" s="8" t="s">
        <v>31</v>
      </c>
      <c r="F8" s="8" t="s">
        <v>3</v>
      </c>
      <c r="G8" s="8">
        <v>3</v>
      </c>
      <c r="H8" s="8">
        <v>5</v>
      </c>
      <c r="I8" s="8">
        <f t="shared" si="0"/>
        <v>3</v>
      </c>
      <c r="J8" s="9" t="s">
        <v>34</v>
      </c>
      <c r="K8" s="10" t="str">
        <f t="shared" si="1"/>
        <v/>
      </c>
      <c r="L8" s="10" t="str">
        <f t="shared" si="2"/>
        <v/>
      </c>
      <c r="M8" s="10">
        <f t="shared" si="3"/>
        <v>1</v>
      </c>
      <c r="N8" s="10">
        <f t="shared" si="4"/>
        <v>1</v>
      </c>
      <c r="O8" s="10">
        <f t="shared" si="5"/>
        <v>1</v>
      </c>
      <c r="P8" s="10" t="str">
        <f t="shared" si="6"/>
        <v/>
      </c>
      <c r="Q8" s="10" t="str">
        <f t="shared" si="7"/>
        <v/>
      </c>
      <c r="R8" s="10" t="str">
        <f t="shared" si="8"/>
        <v/>
      </c>
      <c r="S8" s="10" t="str">
        <f t="shared" si="9"/>
        <v/>
      </c>
      <c r="T8" s="10" t="str">
        <f t="shared" si="10"/>
        <v/>
      </c>
    </row>
    <row r="9" spans="1:20" ht="33.950000000000003" customHeight="1" x14ac:dyDescent="0.25">
      <c r="A9" s="8" t="s">
        <v>36</v>
      </c>
      <c r="B9" s="8" t="s">
        <v>41</v>
      </c>
      <c r="C9" s="9" t="s">
        <v>42</v>
      </c>
      <c r="D9" s="8" t="s">
        <v>30</v>
      </c>
      <c r="E9" s="8" t="s">
        <v>31</v>
      </c>
      <c r="F9" s="8" t="s">
        <v>3</v>
      </c>
      <c r="G9" s="8">
        <v>3</v>
      </c>
      <c r="H9" s="8">
        <v>5</v>
      </c>
      <c r="I9" s="8">
        <f t="shared" si="0"/>
        <v>3</v>
      </c>
      <c r="J9" s="9" t="s">
        <v>39</v>
      </c>
      <c r="K9" s="10" t="str">
        <f t="shared" si="1"/>
        <v/>
      </c>
      <c r="L9" s="10" t="str">
        <f t="shared" si="2"/>
        <v/>
      </c>
      <c r="M9" s="10">
        <f t="shared" si="3"/>
        <v>1</v>
      </c>
      <c r="N9" s="10">
        <f t="shared" si="4"/>
        <v>1</v>
      </c>
      <c r="O9" s="10">
        <f t="shared" si="5"/>
        <v>1</v>
      </c>
      <c r="P9" s="10" t="str">
        <f t="shared" si="6"/>
        <v/>
      </c>
      <c r="Q9" s="10" t="str">
        <f t="shared" si="7"/>
        <v/>
      </c>
      <c r="R9" s="10" t="str">
        <f t="shared" si="8"/>
        <v/>
      </c>
      <c r="S9" s="10" t="str">
        <f t="shared" si="9"/>
        <v/>
      </c>
      <c r="T9" s="10" t="str">
        <f t="shared" si="10"/>
        <v/>
      </c>
    </row>
    <row r="10" spans="1:20" ht="33.950000000000003" customHeight="1" x14ac:dyDescent="0.25">
      <c r="A10" s="8" t="s">
        <v>36</v>
      </c>
      <c r="B10" s="8" t="s">
        <v>43</v>
      </c>
      <c r="C10" s="9" t="s">
        <v>44</v>
      </c>
      <c r="D10" s="8" t="s">
        <v>30</v>
      </c>
      <c r="E10" s="8" t="s">
        <v>31</v>
      </c>
      <c r="F10" s="8" t="s">
        <v>3</v>
      </c>
      <c r="G10" s="8">
        <v>3</v>
      </c>
      <c r="H10" s="8">
        <v>6</v>
      </c>
      <c r="I10" s="8">
        <f t="shared" si="0"/>
        <v>4</v>
      </c>
      <c r="J10" s="9" t="s">
        <v>37</v>
      </c>
      <c r="K10" s="10" t="str">
        <f t="shared" si="1"/>
        <v/>
      </c>
      <c r="L10" s="10" t="str">
        <f t="shared" si="2"/>
        <v/>
      </c>
      <c r="M10" s="10">
        <f t="shared" si="3"/>
        <v>1</v>
      </c>
      <c r="N10" s="10">
        <f t="shared" si="4"/>
        <v>1</v>
      </c>
      <c r="O10" s="10">
        <f t="shared" si="5"/>
        <v>1</v>
      </c>
      <c r="P10" s="10">
        <f t="shared" si="6"/>
        <v>1</v>
      </c>
      <c r="Q10" s="10" t="str">
        <f t="shared" si="7"/>
        <v/>
      </c>
      <c r="R10" s="10" t="str">
        <f t="shared" si="8"/>
        <v/>
      </c>
      <c r="S10" s="10" t="str">
        <f t="shared" si="9"/>
        <v/>
      </c>
      <c r="T10" s="10" t="str">
        <f t="shared" si="10"/>
        <v/>
      </c>
    </row>
    <row r="11" spans="1:20" ht="33.950000000000003" customHeight="1" x14ac:dyDescent="0.25">
      <c r="A11" s="8" t="s">
        <v>45</v>
      </c>
      <c r="B11" s="8" t="s">
        <v>46</v>
      </c>
      <c r="C11" s="9" t="s">
        <v>47</v>
      </c>
      <c r="D11" s="8" t="s">
        <v>30</v>
      </c>
      <c r="E11" s="8" t="s">
        <v>31</v>
      </c>
      <c r="F11" s="8" t="s">
        <v>3</v>
      </c>
      <c r="G11" s="8">
        <v>4</v>
      </c>
      <c r="H11" s="8">
        <v>6</v>
      </c>
      <c r="I11" s="8">
        <f t="shared" si="0"/>
        <v>3</v>
      </c>
      <c r="J11" s="9" t="s">
        <v>37</v>
      </c>
      <c r="K11" s="10" t="str">
        <f t="shared" si="1"/>
        <v/>
      </c>
      <c r="L11" s="10" t="str">
        <f t="shared" si="2"/>
        <v/>
      </c>
      <c r="M11" s="10" t="str">
        <f t="shared" si="3"/>
        <v/>
      </c>
      <c r="N11" s="10">
        <f t="shared" si="4"/>
        <v>1</v>
      </c>
      <c r="O11" s="10">
        <f t="shared" si="5"/>
        <v>1</v>
      </c>
      <c r="P11" s="10">
        <f t="shared" si="6"/>
        <v>1</v>
      </c>
      <c r="Q11" s="10" t="str">
        <f t="shared" si="7"/>
        <v/>
      </c>
      <c r="R11" s="10" t="str">
        <f t="shared" si="8"/>
        <v/>
      </c>
      <c r="S11" s="10" t="str">
        <f t="shared" si="9"/>
        <v/>
      </c>
      <c r="T11" s="10" t="str">
        <f t="shared" si="10"/>
        <v/>
      </c>
    </row>
    <row r="12" spans="1:20" ht="33.950000000000003" customHeight="1" x14ac:dyDescent="0.25">
      <c r="A12" s="8" t="s">
        <v>48</v>
      </c>
      <c r="B12" s="8" t="s">
        <v>49</v>
      </c>
      <c r="C12" s="9" t="s">
        <v>50</v>
      </c>
      <c r="D12" s="8" t="s">
        <v>30</v>
      </c>
      <c r="E12" s="8" t="s">
        <v>51</v>
      </c>
      <c r="F12" s="8" t="s">
        <v>3</v>
      </c>
      <c r="G12" s="8">
        <v>5</v>
      </c>
      <c r="H12" s="8">
        <v>6</v>
      </c>
      <c r="I12" s="8">
        <f t="shared" si="0"/>
        <v>2</v>
      </c>
      <c r="J12" s="9" t="s">
        <v>41</v>
      </c>
      <c r="K12" s="10" t="str">
        <f t="shared" si="1"/>
        <v/>
      </c>
      <c r="L12" s="10" t="str">
        <f t="shared" si="2"/>
        <v/>
      </c>
      <c r="M12" s="10" t="str">
        <f t="shared" si="3"/>
        <v/>
      </c>
      <c r="N12" s="10" t="str">
        <f t="shared" si="4"/>
        <v/>
      </c>
      <c r="O12" s="10">
        <f t="shared" si="5"/>
        <v>1</v>
      </c>
      <c r="P12" s="10">
        <f t="shared" si="6"/>
        <v>1</v>
      </c>
      <c r="Q12" s="10" t="str">
        <f t="shared" si="7"/>
        <v/>
      </c>
      <c r="R12" s="10" t="str">
        <f t="shared" si="8"/>
        <v/>
      </c>
      <c r="S12" s="10" t="str">
        <f t="shared" si="9"/>
        <v/>
      </c>
      <c r="T12" s="10" t="str">
        <f t="shared" si="10"/>
        <v/>
      </c>
    </row>
    <row r="13" spans="1:20" ht="33.950000000000003" customHeight="1" x14ac:dyDescent="0.25">
      <c r="A13" s="8" t="s">
        <v>52</v>
      </c>
      <c r="B13" s="8" t="s">
        <v>53</v>
      </c>
      <c r="C13" s="9" t="s">
        <v>54</v>
      </c>
      <c r="D13" s="8" t="s">
        <v>30</v>
      </c>
      <c r="E13" s="8" t="s">
        <v>31</v>
      </c>
      <c r="F13" s="8" t="s">
        <v>3</v>
      </c>
      <c r="G13" s="8">
        <v>6</v>
      </c>
      <c r="H13" s="8">
        <v>7</v>
      </c>
      <c r="I13" s="8">
        <f t="shared" si="0"/>
        <v>2</v>
      </c>
      <c r="J13" s="9" t="s">
        <v>55</v>
      </c>
      <c r="K13" s="10" t="str">
        <f t="shared" si="1"/>
        <v/>
      </c>
      <c r="L13" s="10" t="str">
        <f t="shared" si="2"/>
        <v/>
      </c>
      <c r="M13" s="10" t="str">
        <f t="shared" si="3"/>
        <v/>
      </c>
      <c r="N13" s="10" t="str">
        <f t="shared" si="4"/>
        <v/>
      </c>
      <c r="O13" s="10" t="str">
        <f t="shared" si="5"/>
        <v/>
      </c>
      <c r="P13" s="10">
        <f t="shared" si="6"/>
        <v>1</v>
      </c>
      <c r="Q13" s="10">
        <f t="shared" si="7"/>
        <v>1</v>
      </c>
      <c r="R13" s="10" t="str">
        <f t="shared" si="8"/>
        <v/>
      </c>
      <c r="S13" s="10" t="str">
        <f t="shared" si="9"/>
        <v/>
      </c>
      <c r="T13" s="10" t="str">
        <f t="shared" si="10"/>
        <v/>
      </c>
    </row>
    <row r="14" spans="1:20" ht="33.950000000000003" customHeight="1" x14ac:dyDescent="0.25">
      <c r="A14" s="8" t="s">
        <v>56</v>
      </c>
      <c r="B14" s="8" t="s">
        <v>57</v>
      </c>
      <c r="C14" s="9" t="s">
        <v>58</v>
      </c>
      <c r="D14" s="8" t="s">
        <v>30</v>
      </c>
      <c r="E14" s="8" t="s">
        <v>31</v>
      </c>
      <c r="F14" s="8" t="s">
        <v>3</v>
      </c>
      <c r="G14" s="8">
        <v>7</v>
      </c>
      <c r="H14" s="8">
        <v>8</v>
      </c>
      <c r="I14" s="8">
        <f t="shared" si="0"/>
        <v>2</v>
      </c>
      <c r="J14" s="9" t="s">
        <v>53</v>
      </c>
      <c r="K14" s="10" t="str">
        <f t="shared" si="1"/>
        <v/>
      </c>
      <c r="L14" s="10" t="str">
        <f t="shared" si="2"/>
        <v/>
      </c>
      <c r="M14" s="10" t="str">
        <f t="shared" si="3"/>
        <v/>
      </c>
      <c r="N14" s="10" t="str">
        <f t="shared" si="4"/>
        <v/>
      </c>
      <c r="O14" s="10" t="str">
        <f t="shared" si="5"/>
        <v/>
      </c>
      <c r="P14" s="10" t="str">
        <f t="shared" si="6"/>
        <v/>
      </c>
      <c r="Q14" s="10">
        <f t="shared" si="7"/>
        <v>1</v>
      </c>
      <c r="R14" s="10">
        <f t="shared" si="8"/>
        <v>1</v>
      </c>
      <c r="S14" s="10" t="str">
        <f t="shared" si="9"/>
        <v/>
      </c>
      <c r="T14" s="10" t="str">
        <f t="shared" si="10"/>
        <v/>
      </c>
    </row>
    <row r="15" spans="1:20" ht="33.950000000000003" customHeight="1" x14ac:dyDescent="0.25">
      <c r="A15" s="8" t="s">
        <v>59</v>
      </c>
      <c r="B15" s="8" t="s">
        <v>60</v>
      </c>
      <c r="C15" s="9" t="s">
        <v>61</v>
      </c>
      <c r="D15" s="8" t="s">
        <v>30</v>
      </c>
      <c r="E15" s="8" t="s">
        <v>31</v>
      </c>
      <c r="F15" s="8" t="s">
        <v>3</v>
      </c>
      <c r="G15" s="8">
        <v>7</v>
      </c>
      <c r="H15" s="8">
        <v>8</v>
      </c>
      <c r="I15" s="8">
        <f t="shared" si="0"/>
        <v>2</v>
      </c>
      <c r="J15" s="9" t="s">
        <v>53</v>
      </c>
      <c r="K15" s="10" t="str">
        <f t="shared" si="1"/>
        <v/>
      </c>
      <c r="L15" s="10" t="str">
        <f t="shared" si="2"/>
        <v/>
      </c>
      <c r="M15" s="10" t="str">
        <f t="shared" si="3"/>
        <v/>
      </c>
      <c r="N15" s="10" t="str">
        <f t="shared" si="4"/>
        <v/>
      </c>
      <c r="O15" s="10" t="str">
        <f t="shared" si="5"/>
        <v/>
      </c>
      <c r="P15" s="10" t="str">
        <f t="shared" si="6"/>
        <v/>
      </c>
      <c r="Q15" s="10">
        <f t="shared" si="7"/>
        <v>1</v>
      </c>
      <c r="R15" s="10">
        <f t="shared" si="8"/>
        <v>1</v>
      </c>
      <c r="S15" s="10" t="str">
        <f t="shared" si="9"/>
        <v/>
      </c>
      <c r="T15" s="10" t="str">
        <f t="shared" si="10"/>
        <v/>
      </c>
    </row>
    <row r="16" spans="1:20" ht="33.950000000000003" customHeight="1" x14ac:dyDescent="0.25">
      <c r="A16" s="8" t="s">
        <v>62</v>
      </c>
      <c r="B16" s="8" t="s">
        <v>63</v>
      </c>
      <c r="C16" s="9" t="s">
        <v>64</v>
      </c>
      <c r="D16" s="8" t="s">
        <v>30</v>
      </c>
      <c r="E16" s="8" t="s">
        <v>51</v>
      </c>
      <c r="F16" s="8" t="s">
        <v>4</v>
      </c>
      <c r="G16" s="8">
        <v>8</v>
      </c>
      <c r="H16" s="8">
        <v>9</v>
      </c>
      <c r="I16" s="8">
        <f t="shared" si="0"/>
        <v>2</v>
      </c>
      <c r="J16" s="9" t="s">
        <v>53</v>
      </c>
      <c r="K16" s="10" t="str">
        <f t="shared" si="1"/>
        <v/>
      </c>
      <c r="L16" s="10" t="str">
        <f t="shared" si="2"/>
        <v/>
      </c>
      <c r="M16" s="10" t="str">
        <f t="shared" si="3"/>
        <v/>
      </c>
      <c r="N16" s="10" t="str">
        <f t="shared" si="4"/>
        <v/>
      </c>
      <c r="O16" s="10" t="str">
        <f t="shared" si="5"/>
        <v/>
      </c>
      <c r="P16" s="10" t="str">
        <f t="shared" si="6"/>
        <v/>
      </c>
      <c r="Q16" s="10" t="str">
        <f t="shared" si="7"/>
        <v/>
      </c>
      <c r="R16" s="10">
        <f t="shared" si="8"/>
        <v>1</v>
      </c>
      <c r="S16" s="10">
        <f t="shared" si="9"/>
        <v>1</v>
      </c>
      <c r="T16" s="10" t="str">
        <f t="shared" si="10"/>
        <v/>
      </c>
    </row>
    <row r="17" spans="1:20" ht="33.950000000000003" customHeight="1" x14ac:dyDescent="0.25">
      <c r="A17" s="8" t="s">
        <v>65</v>
      </c>
      <c r="B17" s="8" t="s">
        <v>66</v>
      </c>
      <c r="C17" s="9" t="s">
        <v>67</v>
      </c>
      <c r="D17" s="8" t="s">
        <v>30</v>
      </c>
      <c r="E17" s="8" t="s">
        <v>31</v>
      </c>
      <c r="F17" s="8" t="s">
        <v>3</v>
      </c>
      <c r="G17" s="8">
        <v>9</v>
      </c>
      <c r="H17" s="8">
        <v>10</v>
      </c>
      <c r="I17" s="8">
        <f t="shared" si="0"/>
        <v>2</v>
      </c>
      <c r="J17" s="9" t="s">
        <v>68</v>
      </c>
      <c r="K17" s="10" t="str">
        <f t="shared" si="1"/>
        <v/>
      </c>
      <c r="L17" s="10" t="str">
        <f t="shared" si="2"/>
        <v/>
      </c>
      <c r="M17" s="10" t="str">
        <f t="shared" si="3"/>
        <v/>
      </c>
      <c r="N17" s="10" t="str">
        <f t="shared" si="4"/>
        <v/>
      </c>
      <c r="O17" s="10" t="str">
        <f t="shared" si="5"/>
        <v/>
      </c>
      <c r="P17" s="10" t="str">
        <f t="shared" si="6"/>
        <v/>
      </c>
      <c r="Q17" s="10" t="str">
        <f t="shared" si="7"/>
        <v/>
      </c>
      <c r="R17" s="10" t="str">
        <f t="shared" si="8"/>
        <v/>
      </c>
      <c r="S17" s="10">
        <f t="shared" si="9"/>
        <v>1</v>
      </c>
      <c r="T17" s="10">
        <f t="shared" si="10"/>
        <v>1</v>
      </c>
    </row>
  </sheetData>
  <mergeCells count="2">
    <mergeCell ref="A1:T1"/>
    <mergeCell ref="A2:T2"/>
  </mergeCells>
  <conditionalFormatting sqref="F5:F17">
    <cfRule type="cellIs" dxfId="8" priority="1" operator="equal">
      <formula>"Planned"</formula>
    </cfRule>
    <cfRule type="cellIs" dxfId="7" priority="2" operator="equal">
      <formula>"In Progress"</formula>
    </cfRule>
    <cfRule type="cellIs" dxfId="6" priority="3" operator="equal">
      <formula>"Done"</formula>
    </cfRule>
    <cfRule type="cellIs" dxfId="5" priority="4" operator="equal">
      <formula>"Blocked"</formula>
    </cfRule>
  </conditionalFormatting>
  <conditionalFormatting sqref="K5:T17">
    <cfRule type="cellIs" dxfId="4" priority="5" operator="equal">
      <formula>1</formula>
    </cfRule>
  </conditionalFormatting>
  <dataValidations count="4">
    <dataValidation type="list" allowBlank="1" sqref="F5:F17" xr:uid="{00000000-0002-0000-0000-000000000000}">
      <formula1>"Planned,In Progress,Done,Blocked"</formula1>
    </dataValidation>
    <dataValidation type="list" allowBlank="1" sqref="E5:E17" xr:uid="{00000000-0002-0000-0000-000001000000}">
      <formula1>"High,Medium,Low"</formula1>
    </dataValidation>
    <dataValidation type="list" allowBlank="1" sqref="A5:A17" xr:uid="{00000000-0002-0000-0000-000002000000}">
      <formula1>"Initiation,Specification,Deployment,Security,Resilience,Validation,Blue Team,Red Team,Project Mgmt,Delivery"</formula1>
    </dataValidation>
    <dataValidation type="whole" sqref="G5:H17" xr:uid="{00000000-0002-0000-0000-000003000000}">
      <formula1>1</formula1>
      <formula2>10</formula2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workbookViewId="0">
      <selection sqref="A1:F1"/>
    </sheetView>
  </sheetViews>
  <sheetFormatPr baseColWidth="10" defaultColWidth="9.140625" defaultRowHeight="15" x14ac:dyDescent="0.25"/>
  <cols>
    <col min="1" max="1" width="34" customWidth="1"/>
    <col min="2" max="2" width="12" customWidth="1"/>
    <col min="3" max="4" width="14" customWidth="1"/>
    <col min="5" max="5" width="34" customWidth="1"/>
    <col min="6" max="6" width="28" customWidth="1"/>
  </cols>
  <sheetData>
    <row r="1" spans="1:6" ht="18.75" x14ac:dyDescent="0.3">
      <c r="A1" s="21" t="s">
        <v>69</v>
      </c>
      <c r="B1" s="19"/>
      <c r="C1" s="19"/>
      <c r="D1" s="19"/>
      <c r="E1" s="19"/>
      <c r="F1" s="19"/>
    </row>
    <row r="2" spans="1:6" x14ac:dyDescent="0.25">
      <c r="A2" s="7" t="s">
        <v>70</v>
      </c>
      <c r="B2" s="7" t="s">
        <v>71</v>
      </c>
      <c r="C2" s="7" t="s">
        <v>10</v>
      </c>
      <c r="D2" s="7" t="s">
        <v>12</v>
      </c>
      <c r="E2" s="7" t="s">
        <v>72</v>
      </c>
      <c r="F2" s="7" t="s">
        <v>73</v>
      </c>
    </row>
    <row r="3" spans="1:6" x14ac:dyDescent="0.25">
      <c r="A3" s="11" t="s">
        <v>74</v>
      </c>
      <c r="B3" s="10">
        <v>2</v>
      </c>
      <c r="C3" s="10" t="s">
        <v>30</v>
      </c>
      <c r="D3" s="10" t="s">
        <v>5</v>
      </c>
      <c r="E3" s="11" t="s">
        <v>75</v>
      </c>
      <c r="F3" s="12" t="s">
        <v>32</v>
      </c>
    </row>
    <row r="4" spans="1:6" x14ac:dyDescent="0.25">
      <c r="A4" s="11" t="s">
        <v>76</v>
      </c>
      <c r="B4" s="10">
        <v>4</v>
      </c>
      <c r="C4" s="10" t="s">
        <v>30</v>
      </c>
      <c r="D4" s="10" t="s">
        <v>4</v>
      </c>
      <c r="E4" s="11" t="s">
        <v>77</v>
      </c>
      <c r="F4" s="12" t="s">
        <v>32</v>
      </c>
    </row>
    <row r="5" spans="1:6" x14ac:dyDescent="0.25">
      <c r="A5" s="11" t="s">
        <v>78</v>
      </c>
      <c r="B5" s="10">
        <v>6</v>
      </c>
      <c r="C5" s="10" t="s">
        <v>30</v>
      </c>
      <c r="D5" s="10" t="s">
        <v>3</v>
      </c>
      <c r="E5" s="11" t="s">
        <v>79</v>
      </c>
      <c r="F5" s="12" t="s">
        <v>32</v>
      </c>
    </row>
    <row r="6" spans="1:6" x14ac:dyDescent="0.25">
      <c r="A6" s="11" t="s">
        <v>80</v>
      </c>
      <c r="B6" s="10">
        <v>7</v>
      </c>
      <c r="C6" s="10" t="s">
        <v>30</v>
      </c>
      <c r="D6" s="10" t="s">
        <v>3</v>
      </c>
      <c r="E6" s="11" t="s">
        <v>79</v>
      </c>
      <c r="F6" s="12" t="s">
        <v>32</v>
      </c>
    </row>
    <row r="7" spans="1:6" x14ac:dyDescent="0.25">
      <c r="A7" s="11" t="s">
        <v>81</v>
      </c>
      <c r="B7" s="10">
        <v>8</v>
      </c>
      <c r="C7" s="10" t="s">
        <v>30</v>
      </c>
      <c r="D7" s="10" t="s">
        <v>3</v>
      </c>
      <c r="E7" s="11" t="s">
        <v>82</v>
      </c>
      <c r="F7" s="12" t="s">
        <v>32</v>
      </c>
    </row>
    <row r="8" spans="1:6" x14ac:dyDescent="0.25">
      <c r="A8" s="11" t="s">
        <v>83</v>
      </c>
      <c r="B8" s="10">
        <v>9</v>
      </c>
      <c r="C8" s="10" t="s">
        <v>30</v>
      </c>
      <c r="D8" s="10" t="s">
        <v>4</v>
      </c>
      <c r="E8" s="11" t="s">
        <v>84</v>
      </c>
      <c r="F8" s="12" t="s">
        <v>32</v>
      </c>
    </row>
    <row r="9" spans="1:6" x14ac:dyDescent="0.25">
      <c r="A9" s="11" t="s">
        <v>85</v>
      </c>
      <c r="B9" s="10">
        <v>10</v>
      </c>
      <c r="C9" s="10" t="s">
        <v>30</v>
      </c>
      <c r="D9" s="10" t="s">
        <v>3</v>
      </c>
      <c r="E9" s="11" t="s">
        <v>86</v>
      </c>
      <c r="F9" s="12" t="s">
        <v>32</v>
      </c>
    </row>
  </sheetData>
  <mergeCells count="1">
    <mergeCell ref="A1:F1"/>
  </mergeCells>
  <conditionalFormatting sqref="D3:D9">
    <cfRule type="cellIs" dxfId="3" priority="1" operator="equal">
      <formula>"Planned"</formula>
    </cfRule>
    <cfRule type="cellIs" dxfId="2" priority="2" operator="equal">
      <formula>"In Progress"</formula>
    </cfRule>
    <cfRule type="cellIs" dxfId="1" priority="3" operator="equal">
      <formula>"Done"</formula>
    </cfRule>
    <cfRule type="cellIs" dxfId="0" priority="4" operator="equal">
      <formula>"Blocked"</formula>
    </cfRule>
  </conditionalFormatting>
  <dataValidations count="1">
    <dataValidation type="list" allowBlank="1" sqref="D3:D9" xr:uid="{00000000-0002-0000-0100-000000000000}">
      <formula1>"Planned,In Progress,Done,Blocked"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showGridLines="0" workbookViewId="0">
      <selection sqref="A1:G1"/>
    </sheetView>
  </sheetViews>
  <sheetFormatPr baseColWidth="10" defaultColWidth="9.140625" defaultRowHeight="15" x14ac:dyDescent="0.25"/>
  <cols>
    <col min="1" max="1" width="100.140625" customWidth="1"/>
  </cols>
  <sheetData>
    <row r="1" spans="1:7" ht="18.75" x14ac:dyDescent="0.3">
      <c r="A1" s="22" t="s">
        <v>87</v>
      </c>
      <c r="B1" s="19"/>
      <c r="C1" s="19"/>
      <c r="D1" s="19"/>
      <c r="E1" s="19"/>
      <c r="F1" s="19"/>
      <c r="G1" s="19"/>
    </row>
    <row r="3" spans="1:7" x14ac:dyDescent="0.25">
      <c r="A3" s="13" t="s">
        <v>88</v>
      </c>
    </row>
    <row r="4" spans="1:7" x14ac:dyDescent="0.25">
      <c r="A4" s="13" t="s">
        <v>89</v>
      </c>
    </row>
    <row r="5" spans="1:7" x14ac:dyDescent="0.25">
      <c r="A5" s="13" t="s">
        <v>90</v>
      </c>
    </row>
    <row r="6" spans="1:7" x14ac:dyDescent="0.25">
      <c r="A6" s="13" t="s">
        <v>91</v>
      </c>
    </row>
    <row r="7" spans="1:7" x14ac:dyDescent="0.25">
      <c r="A7" s="13" t="s">
        <v>92</v>
      </c>
    </row>
    <row r="8" spans="1:7" ht="17.25" customHeight="1" x14ac:dyDescent="0.25">
      <c r="A8" s="13" t="s">
        <v>93</v>
      </c>
    </row>
    <row r="9" spans="1:7" x14ac:dyDescent="0.25">
      <c r="A9" t="s">
        <v>94</v>
      </c>
    </row>
    <row r="10" spans="1:7" x14ac:dyDescent="0.25">
      <c r="A10" s="14" t="s">
        <v>3</v>
      </c>
    </row>
    <row r="11" spans="1:7" x14ac:dyDescent="0.25">
      <c r="A11" s="15" t="s">
        <v>4</v>
      </c>
    </row>
    <row r="12" spans="1:7" x14ac:dyDescent="0.25">
      <c r="A12" s="16" t="s">
        <v>5</v>
      </c>
    </row>
    <row r="13" spans="1:7" x14ac:dyDescent="0.25">
      <c r="A13" s="17" t="s">
        <v>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Roadmap_Gantt</vt:lpstr>
      <vt:lpstr>Milestones</vt:lpstr>
      <vt:lpstr>How_to_Use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Rattanamongkhoun</cp:lastModifiedBy>
  <dcterms:modified xsi:type="dcterms:W3CDTF">2026-04-11T22:00:33Z</dcterms:modified>
</cp:coreProperties>
</file>