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08f0e14fa46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_Register" sheetId="1" r:id="R15eeab55269e4376"/>
    <x:sheet xmlns:r="http://schemas.openxmlformats.org/officeDocument/2006/relationships" name="Rating_Scales" sheetId="2" r:id="Ra16a9b8dae5b488e"/>
    <x:sheet xmlns:r="http://schemas.openxmlformats.org/officeDocument/2006/relationships" name="Summary" sheetId="3" r:id="R22cf2f953f0a4f63"/>
  </x:sheets>
  <x:definedNames>
    <x:definedName name="_xlnm._FilterDatabase" localSheetId="0" hidden="1">'Risk_Register'!$A$8:$S$17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F8" authorId="0">
      <x:text>
        <x:r>
          <x:t>Input: estimated likelihood for the current environment review.</x:t>
        </x:r>
      </x:text>
    </x:comment>
    <x:comment ref="G8" authorId="0">
      <x:text>
        <x:r>
          <x:t>Input: estimated impact if the risk materializes in the project context.</x:t>
        </x:r>
      </x:text>
    </x:comment>
    <x:comment ref="P8" authorId="0">
      <x:text>
        <x:r>
          <x:t>Input after remediation: retest outcome drives residual view.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9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b/>
      <x:color rgb="00666666"/>
    </x:font>
    <x:font>
      <x:color rgb="00808080"/>
    </x:font>
    <x:font>
      <x:b/>
      <x:color rgb="00FFFFFF"/>
    </x:font>
    <x:font>
      <x:color rgb="000000FF"/>
    </x:font>
    <x:font>
      <x:color rgb="00000000"/>
    </x:font>
    <x:font>
      <x:color rgb="00666666"/>
    </x:font>
    <x:font>
      <x:b/>
      <x:color rgb="00000000"/>
    </x:font>
  </x:fonts>
  <x:fills count="5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FF2CC"/>
      </x:patternFill>
    </x:fill>
    <x:fill>
      <x:patternFill patternType="solid">
        <x:fgColor rgb="00D9EAD3"/>
      </x:patternFill>
    </x:fill>
  </x:fills>
  <x:borders count="5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  <x:border>
      <x:left/>
      <x:right style="thin">
        <x:color rgb="00D9D9D9"/>
      </x:right>
      <x:top/>
      <x:bottom style="thin">
        <x:color rgb="00D9D9D9"/>
      </x:bottom>
      <x:diagonal/>
    </x:border>
    <x:border>
      <x:left/>
      <x:right style="thin">
        <x:color rgb="00D9D9D9"/>
      </x:right>
      <x:top/>
      <x:bottom/>
      <x:diagonal/>
    </x:border>
    <x:border>
      <x:left/>
      <x:right/>
      <x:top/>
      <x:bottom style="thin">
        <x:color rgb="00D9D9D9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2" borderId="0" xfId="0" applyAlignment="1">
      <x:alignment horizontal="left" vertical="center"/>
    </x:xf>
    <x:xf numFmtId="0" fontId="2" fillId="0" borderId="0" xfId="0"/>
    <x:xf numFmtId="0" fontId="3" fillId="0" borderId="0" xfId="0"/>
    <x:xf numFmtId="0" fontId="4" fillId="2" borderId="1" xfId="0" applyAlignment="1">
      <x:alignment horizontal="center" vertical="center" wrapText="1"/>
    </x:xf>
    <x:xf numFmtId="0" fontId="7" fillId="0" borderId="1" xfId="0" applyAlignment="1">
      <x:alignment vertical="top" wrapText="1"/>
    </x:xf>
    <x:xf numFmtId="0" fontId="5" fillId="0" borderId="1" xfId="0" applyAlignment="1">
      <x:alignment vertical="top" wrapText="1"/>
    </x:xf>
    <x:xf numFmtId="1" fontId="6" fillId="0" borderId="1" xfId="0" applyAlignment="1">
      <x:alignment vertical="top" wrapText="1"/>
    </x:xf>
    <x:xf numFmtId="0" fontId="6" fillId="0" borderId="1" xfId="0" applyAlignment="1">
      <x:alignment vertical="top" wrapText="1"/>
    </x:xf>
    <x:xf numFmtId="164" fontId="5" fillId="0" borderId="1" xfId="0" applyAlignment="1">
      <x:alignment vertical="top" wrapText="1"/>
    </x:xf>
    <x:xf numFmtId="0" fontId="8" fillId="3" borderId="0" xfId="0" applyAlignment="1">
      <x:alignment wrapText="1"/>
    </x:xf>
    <x:xf numFmtId="0" fontId="4" fillId="2" borderId="1" xfId="0" applyAlignment="1">
      <x:alignment horizontal="center"/>
    </x:xf>
    <x:xf numFmtId="0" fontId="0" fillId="0" borderId="1" xfId="0" applyAlignment="1">
      <x:alignment horizontal="center"/>
    </x:xf>
    <x:xf numFmtId="0" fontId="0" fillId="0" borderId="0" xfId="0" applyAlignment="1">
      <x:alignment wrapText="1"/>
    </x:xf>
    <x:xf numFmtId="0" fontId="1" fillId="2" borderId="0" xfId="0" applyAlignment="1">
      <x:alignment horizontal="left"/>
    </x:xf>
    <x:xf numFmtId="0" fontId="2" fillId="0" borderId="1" xfId="0"/>
    <x:xf numFmtId="0" fontId="8" fillId="4" borderId="1" xfId="0"/>
    <x:xf numFmtId="0" fontId="4" fillId="2" borderId="0" xfId="0"/>
    <x:xf numFmtId="0" fontId="0" fillId="0" borderId="1" xfId="0" applyAlignment="1">
      <x:alignment wrapText="1"/>
    </x:xf>
    <x:xf numFmtId="0" fontId="4" fillId="2" borderId="2" xfId="0"/>
    <x:xf numFmtId="0" fontId="0" fillId="0" borderId="4" xfId="0"/>
    <x:xf numFmtId="0" fontId="0" fillId="0" borderId="2" xfId="0"/>
  </x:cellXfs>
  <x:cellStyles count="1">
    <x:cellStyle name="Normal" xfId="0"/>
  </x:cellStyles>
  <x:dxfs count="3">
    <x:dxf>
      <x:fill>
        <x:patternFill>
          <x:bgColor rgb="00F4CCCC"/>
        </x:patternFill>
      </x:fill>
    </x:dxf>
    <x:dxf>
      <x:fill>
        <x:patternFill>
          <x:bgColor rgb="00FFF2CC"/>
        </x:patternFill>
      </x:fill>
    </x:dxf>
    <x:dxf>
      <x:fill>
        <x:patternFill>
          <x:bgColor rgb="00D9EAD3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790e35fa064ae2" /><Relationship Type="http://schemas.openxmlformats.org/officeDocument/2006/relationships/theme" Target="/xl/theme/theme1.xml" Id="R669152c005624ec0" /><Relationship Type="http://schemas.openxmlformats.org/officeDocument/2006/relationships/sharedStrings" Target="/xl/sharedStrings.xml" Id="Rfd7ff303a32448c2" /><Relationship Type="http://schemas.openxmlformats.org/officeDocument/2006/relationships/worksheet" Target="/xl/worksheets/sheet1.xml" Id="R15eeab55269e4376" /><Relationship Type="http://schemas.openxmlformats.org/officeDocument/2006/relationships/worksheet" Target="/xl/worksheets/sheet2.xml" Id="Ra16a9b8dae5b488e" /><Relationship Type="http://schemas.openxmlformats.org/officeDocument/2006/relationships/worksheet" Target="/xl/worksheets/sheet3.xml" Id="R22cf2f953f0a4f63" /><Relationship Type="http://schemas.microsoft.com/office/2017/10/relationships/person" Target="/xl/persons/person.xml" Id="Ra1d8284e2e7b4d34" /></Relationships>
</file>

<file path=xl/persons/person.xml><?xml version="1.0" encoding="utf-8"?>
<xltc:personList xmlns:xltc="http://schemas.microsoft.com/office/spreadsheetml/2018/threadedcomments">
  <xltc:person displayName="OpenAI" id="{8E55B7DA-A8CA-857B-E35D-F86F49BB176C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8bb9e229b0b40ed" /><Relationship Type="http://schemas.openxmlformats.org/officeDocument/2006/relationships/vmlDrawing" Target="/xl/drawings/vmldrawing.vml" Id="R639a392662a040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4" customWidth="1"/>
    <x:col min="3" max="3" width="28" customWidth="1"/>
    <x:col min="4" max="4" width="24" customWidth="1"/>
    <x:col min="5" max="5" width="48" customWidth="1"/>
    <x:col min="6" max="6" width="11" customWidth="1"/>
    <x:col min="7" max="7" width="10" customWidth="1"/>
    <x:col min="8" max="8" width="13" customWidth="1"/>
    <x:col min="9" max="9" width="14" customWidth="1"/>
    <x:col min="10" max="10" width="11" customWidth="1"/>
    <x:col min="11" max="11" width="24" customWidth="1"/>
    <x:col min="12" max="12" width="14" customWidth="1"/>
    <x:col min="13" max="13" width="34" customWidth="1"/>
    <x:col min="14" max="14" width="34" customWidth="1"/>
    <x:col min="15" max="15" width="13" customWidth="1"/>
    <x:col min="16" max="16" width="16" customWidth="1"/>
    <x:col min="17" max="17" width="13" customWidth="1"/>
    <x:col min="18" max="18" width="14" customWidth="1"/>
    <x:col min="19" max="19" width="20" customWidth="1"/>
  </x:cols>
  <x:sheetData>
    <x:row r="1" ht="24" customHeight="1">
      <x:c r="A1" s="1" t="inlineStr">
        <x:is>
          <x:t xml:space="preserve">Blue Team Risk Register — Case HOME_Run01</x:t>
        </x:is>
      </x:c>
    </x:row>
    <x:row r="2">
      <x:c r="A2" s="2" t="inlineStr">
        <x:is>
          <x:t xml:space="preserve">Case ID</x:t>
        </x:is>
      </x:c>
      <x:c r="B2" s="3" t="inlineStr">
        <x:is>
          <x:t xml:space="preserve">HOME_Run01</x:t>
        </x:is>
      </x:c>
    </x:row>
    <x:row r="3">
      <x:c r="A3" s="2" t="inlineStr">
        <x:is>
          <x:t xml:space="preserve">Workstream</x:t>
        </x:is>
      </x:c>
      <x:c r="B3" s="3" t="inlineStr">
        <x:is>
          <x:t xml:space="preserve">Blue Team</x:t>
        </x:is>
      </x:c>
    </x:row>
    <x:row r="4">
      <x:c r="A4" s="2" t="inlineStr">
        <x:is>
          <x:t xml:space="preserve">Review Type</x:t>
        </x:is>
      </x:c>
      <x:c r="B4" s="3" t="inlineStr">
        <x:is>
          <x:t xml:space="preserve">Defensive review</x:t>
        </x:is>
      </x:c>
    </x:row>
    <x:row r="5">
      <x:c r="A5" s="2" t="inlineStr">
        <x:is>
          <x:t xml:space="preserve">Environment</x:t>
        </x:is>
      </x:c>
      <x:c r="B5" s="3" t="inlineStr">
        <x:is>
          <x:t xml:space="preserve">SME-scale remote-first startup lab infrastructure</x:t>
        </x:is>
      </x:c>
    </x:row>
    <x:row r="6">
      <x:c r="A6" s="2" t="inlineStr">
        <x:is>
          <x:t xml:space="preserve">Status</x:t>
        </x:is>
      </x:c>
      <x:c r="B6" s="3" t="inlineStr">
        <x:is>
          <x:t xml:space="preserve">Initial register</x:t>
        </x:is>
      </x:c>
    </x:row>
    <x:row r="8" ht="34" customHeight="1">
      <x:c r="A8" s="4" t="inlineStr">
        <x:is>
          <x:t xml:space="preserve">Risk ID</x:t>
        </x:is>
      </x:c>
      <x:c r="B8" s="4" t="inlineStr">
        <x:is>
          <x:t xml:space="preserve">Related Finding</x:t>
        </x:is>
      </x:c>
      <x:c r="C8" s="4" t="inlineStr">
        <x:is>
          <x:t xml:space="preserve">Risk Title</x:t>
        </x:is>
      </x:c>
      <x:c r="D8" s="4" t="inlineStr">
        <x:is>
          <x:t xml:space="preserve">Component(s)</x:t>
        </x:is>
      </x:c>
      <x:c r="E8" s="4" t="inlineStr">
        <x:is>
          <x:t xml:space="preserve">Description</x:t>
        </x:is>
      </x:c>
      <x:c r="F8" s="4" t="inlineStr">
        <x:is>
          <x:t xml:space="preserve">Likelihood</x:t>
        </x:is>
      </x:c>
      <x:c r="G8" s="4" t="inlineStr">
        <x:is>
          <x:t xml:space="preserve">Impact</x:t>
        </x:is>
      </x:c>
      <x:c r="H8" s="4" t="inlineStr">
        <x:is>
          <x:t xml:space="preserve">Inherent Score</x:t>
        </x:is>
      </x:c>
      <x:c r="I8" s="4" t="inlineStr">
        <x:is>
          <x:t xml:space="preserve">Inherent Rating</x:t>
        </x:is>
      </x:c>
      <x:c r="J8" s="4" t="inlineStr">
        <x:is>
          <x:t xml:space="preserve">Priority</x:t>
        </x:is>
      </x:c>
      <x:c r="K8" s="4" t="inlineStr">
        <x:is>
          <x:t xml:space="preserve">Owner</x:t>
        </x:is>
      </x:c>
      <x:c r="L8" s="4" t="inlineStr">
        <x:is>
          <x:t xml:space="preserve">Current Status</x:t>
        </x:is>
      </x:c>
      <x:c r="M8" s="4" t="inlineStr">
        <x:is>
          <x:t xml:space="preserve">Existing Controls</x:t>
        </x:is>
      </x:c>
      <x:c r="N8" s="4" t="inlineStr">
        <x:is>
          <x:t xml:space="preserve">Planned Treatment</x:t>
        </x:is>
      </x:c>
      <x:c r="O8" s="4" t="inlineStr">
        <x:is>
          <x:t xml:space="preserve">Target Date</x:t>
        </x:is>
      </x:c>
      <x:c r="P8" s="4" t="inlineStr">
        <x:is>
          <x:t xml:space="preserve">Retest Status</x:t>
        </x:is>
      </x:c>
      <x:c r="Q8" s="4" t="inlineStr">
        <x:is>
          <x:t xml:space="preserve">Residual Score</x:t>
        </x:is>
      </x:c>
      <x:c r="R8" s="4" t="inlineStr">
        <x:is>
          <x:t xml:space="preserve">Residual Rating</x:t>
        </x:is>
      </x:c>
      <x:c r="S8" s="4" t="inlineStr">
        <x:is>
          <x:t xml:space="preserve">Evidence Ref</x:t>
        </x:is>
      </x:c>
    </x:row>
    <x:row r="9">
      <x:c r="A9" s="5" t="inlineStr">
        <x:is>
          <x:t xml:space="preserve">RISK-01</x:t>
        </x:is>
      </x:c>
      <x:c r="B9" s="5" t="inlineStr">
        <x:is>
          <x:t xml:space="preserve">F01 / F09</x:t>
        </x:is>
      </x:c>
      <x:c r="C9" s="5" t="inlineStr">
        <x:is>
          <x:t xml:space="preserve">Incomplete Evidence Coverage</x:t>
        </x:is>
      </x:c>
      <x:c r="D9" s="5" t="inlineStr">
        <x:is>
          <x:t xml:space="preserve">Entire infrastructure</x:t>
        </x:is>
      </x:c>
      <x:c r="E9" s="5" t="inlineStr">
        <x:is>
          <x:t xml:space="preserve">Critical controls and validations are documented but not yet fully backed by populated screenshots, outputs, and indexed proof.</x:t>
        </x:is>
      </x:c>
      <x:c r="F9" s="6" t="inlineStr">
        <x:is>
          <x:t xml:space="preserve">High</x:t>
        </x:is>
      </x:c>
      <x:c r="G9" s="6" t="inlineStr">
        <x:is>
          <x:t xml:space="preserve">Medium</x:t>
        </x:is>
      </x:c>
      <x:c r="H9" s="7">
        <x:f>VLOOKUP(F9,Rating_Scales!$A$2:$B$4,2,FALSE)+VLOOKUP(G9,Rating_Scales!$A$2:$B$4,2,FALSE)</x:f>
        <x:v>5</x:v>
      </x:c>
      <x:c r="I9" s="8" t="str">
        <x:f>IF(H9&gt;=5,"High",IF(H9&gt;=3,"Medium","Low"))</x:f>
        <x:v>High</x:v>
      </x:c>
      <x:c r="J9" s="8" t="str">
        <x:f>IF(I9="High","Immediate",IF(I9="Medium","High","Medium"))</x:f>
        <x:v>Immediate</x:v>
      </x:c>
      <x:c r="K9" s="6" t="inlineStr">
        <x:is>
          <x:t xml:space="preserve">Project Lead / Documentation Owner</x:t>
        </x:is>
      </x:c>
      <x:c r="L9" s="6" t="inlineStr">
        <x:is>
          <x:t xml:space="preserve">Open</x:t>
        </x:is>
      </x:c>
      <x:c r="M9" s="5" t="inlineStr">
        <x:is>
          <x:t xml:space="preserve">Strong repository structure; evidence folders and indexes already defined.</x:t>
        </x:is>
      </x:c>
      <x:c r="N9" s="5" t="inlineStr">
        <x:is>
          <x:t xml:space="preserve">Replace placeholders with real proof and map each control to evidence.</x:t>
        </x:is>
      </x:c>
      <x:c r="O9" s="9" t="inlineStr">
        <x:is>
          <x:t xml:space="preserve">2026-04-18</x:t>
        </x:is>
      </x:c>
      <x:c r="P9" s="6" t="inlineStr">
        <x:is>
          <x:t xml:space="preserve">Not Retested</x:t>
        </x:is>
      </x:c>
      <x:c r="Q9" s="7">
        <x:f>IF(P9="Resolved",MAX(1,H9-2),IF(P9="Partially Resolved",MAX(1,H9-1),H9))</x:f>
        <x:v>5</x:v>
      </x:c>
      <x:c r="R9" s="8" t="str">
        <x:f>IF(Q9&gt;=5,"High",IF(Q9&gt;=3,"Medium","Low"))</x:f>
        <x:v>High</x:v>
      </x:c>
      <x:c r="S9" s="6" t="inlineStr">
        <x:is>
          <x:t xml:space="preserve">EV01-EV21</x:t>
        </x:is>
      </x:c>
    </x:row>
    <x:row r="10">
      <x:c r="A10" s="5" t="inlineStr">
        <x:is>
          <x:t xml:space="preserve">RISK-02</x:t>
        </x:is>
      </x:c>
      <x:c r="B10" s="5" t="inlineStr">
        <x:is>
          <x:t xml:space="preserve">F02</x:t>
        </x:is>
      </x:c>
      <x:c r="C10" s="5" t="inlineStr">
        <x:is>
          <x:t xml:space="preserve">Blue Team Case Not Fully Populated</x:t>
        </x:is>
      </x:c>
      <x:c r="D10" s="5" t="inlineStr">
        <x:is>
          <x:t xml:space="preserve">Blue Team case management</x:t>
        </x:is>
      </x:c>
      <x:c r="E10" s="5" t="inlineStr">
        <x:is>
          <x:t xml:space="preserve">Timeline, terrain, and case fields still require real environment values and review observations.</x:t>
        </x:is>
      </x:c>
      <x:c r="F10" s="6" t="inlineStr">
        <x:is>
          <x:t xml:space="preserve">High</x:t>
        </x:is>
      </x:c>
      <x:c r="G10" s="6" t="inlineStr">
        <x:is>
          <x:t xml:space="preserve">Medium</x:t>
        </x:is>
      </x:c>
      <x:c r="H10" s="7">
        <x:f>VLOOKUP(F10,Rating_Scales!$A$2:$B$4,2,FALSE)+VLOOKUP(G10,Rating_Scales!$A$2:$B$4,2,FALSE)</x:f>
        <x:v>5</x:v>
      </x:c>
      <x:c r="I10" s="8" t="str">
        <x:f>IF(H10&gt;=5,"High",IF(H10&gt;=3,"Medium","Low"))</x:f>
        <x:v>High</x:v>
      </x:c>
      <x:c r="J10" s="8" t="str">
        <x:f>IF(I10="High","Immediate",IF(I10="Medium","High","Medium"))</x:f>
        <x:v>Immediate</x:v>
      </x:c>
      <x:c r="K10" s="6" t="inlineStr">
        <x:is>
          <x:t xml:space="preserve">Blue Team Analyst</x:t>
        </x:is>
      </x:c>
      <x:c r="L10" s="6" t="inlineStr">
        <x:is>
          <x:t xml:space="preserve">Open</x:t>
        </x:is>
      </x:c>
      <x:c r="M10" s="5" t="inlineStr">
        <x:is>
          <x:t xml:space="preserve">Case structure, scope, and methodology are complete.</x:t>
        </x:is>
      </x:c>
      <x:c r="N10" s="5" t="inlineStr">
        <x:is>
          <x:t xml:space="preserve">Populate all case files with actual hostnames, dates, observations, and evidence links.</x:t>
        </x:is>
      </x:c>
      <x:c r="O10" s="9" t="inlineStr">
        <x:is>
          <x:t xml:space="preserve">2026-04-18</x:t>
        </x:is>
      </x:c>
      <x:c r="P10" s="6" t="inlineStr">
        <x:is>
          <x:t xml:space="preserve">Not Retested</x:t>
        </x:is>
      </x:c>
      <x:c r="Q10" s="7">
        <x:f>IF(P10="Resolved",MAX(1,H10-2),IF(P10="Partially Resolved",MAX(1,H10-1),H10))</x:f>
        <x:v>5</x:v>
      </x:c>
      <x:c r="R10" s="8" t="str">
        <x:f>IF(Q10&gt;=5,"High",IF(Q10&gt;=3,"Medium","Low"))</x:f>
        <x:v>High</x:v>
      </x:c>
      <x:c r="S10" s="6" t="inlineStr">
        <x:is>
          <x:t xml:space="preserve">Case files</x:t>
        </x:is>
      </x:c>
    </x:row>
    <x:row r="11">
      <x:c r="A11" s="5" t="inlineStr">
        <x:is>
          <x:t xml:space="preserve">RISK-03</x:t>
        </x:is>
      </x:c>
      <x:c r="B11" s="5" t="inlineStr">
        <x:is>
          <x:t xml:space="preserve">F03</x:t>
        </x:is>
      </x:c>
      <x:c r="C11" s="5" t="inlineStr">
        <x:is>
          <x:t xml:space="preserve">Overexposure Until Port and Firewall Proof Exists</x:t>
        </x:is>
      </x:c>
      <x:c r="D11" s="5" t="inlineStr">
        <x:is>
          <x:t xml:space="preserve">Web / Database / Network Security</x:t>
        </x:is>
      </x:c>
      <x:c r="E11" s="5" t="inlineStr">
        <x:is>
          <x:t xml:space="preserve">Restricted exposure is defined in design, but practical proof of allowed and denied network paths is still incomplete.</x:t>
        </x:is>
      </x:c>
      <x:c r="F11" s="6" t="inlineStr">
        <x:is>
          <x:t xml:space="preserve">Medium</x:t>
        </x:is>
      </x:c>
      <x:c r="G11" s="6" t="inlineStr">
        <x:is>
          <x:t xml:space="preserve">High</x:t>
        </x:is>
      </x:c>
      <x:c r="H11" s="7">
        <x:f>VLOOKUP(F11,Rating_Scales!$A$2:$B$4,2,FALSE)+VLOOKUP(G11,Rating_Scales!$A$2:$B$4,2,FALSE)</x:f>
        <x:v>5</x:v>
      </x:c>
      <x:c r="I11" s="8" t="str">
        <x:f>IF(H11&gt;=5,"High",IF(H11&gt;=3,"Medium","Low"))</x:f>
        <x:v>High</x:v>
      </x:c>
      <x:c r="J11" s="8" t="str">
        <x:f>IF(I11="High","Immediate",IF(I11="Medium","High","Medium"))</x:f>
        <x:v>Immediate</x:v>
      </x:c>
      <x:c r="K11" s="6" t="inlineStr">
        <x:is>
          <x:t xml:space="preserve">Network &amp; Security Administrator</x:t>
        </x:is>
      </x:c>
      <x:c r="L11" s="6" t="inlineStr">
        <x:is>
          <x:t xml:space="preserve">Open</x:t>
        </x:is>
      </x:c>
      <x:c r="M11" s="5" t="inlineStr">
        <x:is>
          <x:t xml:space="preserve">Firewall strategy, trust boundaries, and validation plan documented.</x:t>
        </x:is>
      </x:c>
      <x:c r="N11" s="5" t="inlineStr">
        <x:is>
          <x:t xml:space="preserve">Capture firewall rules, allowed port proof, denied DB direct access, and blocked unauthorized paths.</x:t>
        </x:is>
      </x:c>
      <x:c r="O11" s="9" t="inlineStr">
        <x:is>
          <x:t xml:space="preserve">2026-04-17</x:t>
        </x:is>
      </x:c>
      <x:c r="P11" s="6" t="inlineStr">
        <x:is>
          <x:t xml:space="preserve">Not Retested</x:t>
        </x:is>
      </x:c>
      <x:c r="Q11" s="7">
        <x:f>IF(P11="Resolved",MAX(1,H11-2),IF(P11="Partially Resolved",MAX(1,H11-1),H11))</x:f>
        <x:v>5</x:v>
      </x:c>
      <x:c r="R11" s="8" t="str">
        <x:f>IF(Q11&gt;=5,"High",IF(Q11&gt;=3,"Medium","Low"))</x:f>
        <x:v>High</x:v>
      </x:c>
      <x:c r="S11" s="6" t="inlineStr">
        <x:is>
          <x:t xml:space="preserve">NET01-NET10</x:t>
        </x:is>
      </x:c>
    </x:row>
    <x:row r="12">
      <x:c r="A12" s="5" t="inlineStr">
        <x:is>
          <x:t xml:space="preserve">RISK-04</x:t>
        </x:is>
      </x:c>
      <x:c r="B12" s="5" t="inlineStr">
        <x:is>
          <x:t xml:space="preserve">F04</x:t>
        </x:is>
      </x:c>
      <x:c r="C12" s="5" t="inlineStr">
        <x:is>
          <x:t xml:space="preserve">Access Control Not Yet Proven in Practice</x:t>
        </x:is>
      </x:c>
      <x:c r="D12" s="5" t="inlineStr">
        <x:is>
          <x:t xml:space="preserve">AD / IAM / File Server</x:t>
        </x:is>
      </x:c>
      <x:c r="E12" s="5" t="inlineStr">
        <x:is>
          <x:t xml:space="preserve">Identity and permission model is designed, but authorized and unauthorized access behavior still needs proof.</x:t>
        </x:is>
      </x:c>
      <x:c r="F12" s="6" t="inlineStr">
        <x:is>
          <x:t xml:space="preserve">Medium</x:t>
        </x:is>
      </x:c>
      <x:c r="G12" s="6" t="inlineStr">
        <x:is>
          <x:t xml:space="preserve">High</x:t>
        </x:is>
      </x:c>
      <x:c r="H12" s="7">
        <x:f>VLOOKUP(F12,Rating_Scales!$A$2:$B$4,2,FALSE)+VLOOKUP(G12,Rating_Scales!$A$2:$B$4,2,FALSE)</x:f>
        <x:v>5</x:v>
      </x:c>
      <x:c r="I12" s="8" t="str">
        <x:f>IF(H12&gt;=5,"High",IF(H12&gt;=3,"Medium","Low"))</x:f>
        <x:v>High</x:v>
      </x:c>
      <x:c r="J12" s="8" t="str">
        <x:f>IF(I12="High","Immediate",IF(I12="Medium","High","Medium"))</x:f>
        <x:v>Immediate</x:v>
      </x:c>
      <x:c r="K12" s="6" t="inlineStr">
        <x:is>
          <x:t xml:space="preserve">System Administrator / Blue Team Analyst</x:t>
        </x:is>
      </x:c>
      <x:c r="L12" s="6" t="inlineStr">
        <x:is>
          <x:t xml:space="preserve">Open</x:t>
        </x:is>
      </x:c>
      <x:c r="M12" s="5" t="inlineStr">
        <x:is>
          <x:t xml:space="preserve">Centralized IAM, groups, and file access model documented.</x:t>
        </x:is>
      </x:c>
      <x:c r="N12" s="5" t="inlineStr">
        <x:is>
          <x:t xml:space="preserve">Run and capture successful authorized access and denied unauthorized access tests.</x:t>
        </x:is>
      </x:c>
      <x:c r="O12" s="9" t="inlineStr">
        <x:is>
          <x:t xml:space="preserve">2026-04-17</x:t>
        </x:is>
      </x:c>
      <x:c r="P12" s="6" t="inlineStr">
        <x:is>
          <x:t xml:space="preserve">Not Retested</x:t>
        </x:is>
      </x:c>
      <x:c r="Q12" s="7">
        <x:f>IF(P12="Resolved",MAX(1,H12-2),IF(P12="Partially Resolved",MAX(1,H12-1),H12))</x:f>
        <x:v>5</x:v>
      </x:c>
      <x:c r="R12" s="8" t="str">
        <x:f>IF(Q12&gt;=5,"High",IF(Q12&gt;=3,"Medium","Low"))</x:f>
        <x:v>High</x:v>
      </x:c>
      <x:c r="S12" s="6" t="inlineStr">
        <x:is>
          <x:t xml:space="preserve">AD04-AD08; FS06-FS08</x:t>
        </x:is>
      </x:c>
    </x:row>
    <x:row r="13">
      <x:c r="A13" s="5" t="inlineStr">
        <x:is>
          <x:t xml:space="preserve">RISK-05</x:t>
        </x:is>
      </x:c>
      <x:c r="B13" s="5" t="inlineStr">
        <x:is>
          <x:t xml:space="preserve">F05</x:t>
        </x:is>
      </x:c>
      <x:c r="C13" s="5" t="inlineStr">
        <x:is>
          <x:t xml:space="preserve">Backup Without Restore-Oriented Validation</x:t>
        </x:is>
      </x:c>
      <x:c r="D13" s="5" t="inlineStr">
        <x:is>
          <x:t xml:space="preserve">Backup / Monitoring / Database / File Server</x:t>
        </x:is>
      </x:c>
      <x:c r="E13" s="5" t="inlineStr">
        <x:is>
          <x:t xml:space="preserve">Backup logic exists on paper, but resilience remains weak until backup artifacts and a restore-oriented scenario are evidenced.</x:t>
        </x:is>
      </x:c>
      <x:c r="F13" s="6" t="inlineStr">
        <x:is>
          <x:t xml:space="preserve">Medium</x:t>
        </x:is>
      </x:c>
      <x:c r="G13" s="6" t="inlineStr">
        <x:is>
          <x:t xml:space="preserve">High</x:t>
        </x:is>
      </x:c>
      <x:c r="H13" s="7">
        <x:f>VLOOKUP(F13,Rating_Scales!$A$2:$B$4,2,FALSE)+VLOOKUP(G13,Rating_Scales!$A$2:$B$4,2,FALSE)</x:f>
        <x:v>5</x:v>
      </x:c>
      <x:c r="I13" s="8" t="str">
        <x:f>IF(H13&gt;=5,"High",IF(H13&gt;=3,"Medium","Low"))</x:f>
        <x:v>High</x:v>
      </x:c>
      <x:c r="J13" s="8" t="str">
        <x:f>IF(I13="High","Immediate",IF(I13="Medium","High","Medium"))</x:f>
        <x:v>Immediate</x:v>
      </x:c>
      <x:c r="K13" s="6" t="inlineStr">
        <x:is>
          <x:t xml:space="preserve">Monitoring &amp; Resilience Owner</x:t>
        </x:is>
      </x:c>
      <x:c r="L13" s="6" t="inlineStr">
        <x:is>
          <x:t xml:space="preserve">Open</x:t>
        </x:is>
      </x:c>
      <x:c r="M13" s="5" t="inlineStr">
        <x:is>
          <x:t xml:space="preserve">Backup scope, DR logic, and validation approach are documented.</x:t>
        </x:is>
      </x:c>
      <x:c r="N13" s="5" t="inlineStr">
        <x:is>
          <x:t xml:space="preserve">Produce one backup artifact and one restore-oriented validation path with proof.</x:t>
        </x:is>
      </x:c>
      <x:c r="O13" s="9" t="inlineStr">
        <x:is>
          <x:t xml:space="preserve">2026-04-18</x:t>
        </x:is>
      </x:c>
      <x:c r="P13" s="6" t="inlineStr">
        <x:is>
          <x:t xml:space="preserve">Not Retested</x:t>
        </x:is>
      </x:c>
      <x:c r="Q13" s="7">
        <x:f>IF(P13="Resolved",MAX(1,H13-2),IF(P13="Partially Resolved",MAX(1,H13-1),H13))</x:f>
        <x:v>5</x:v>
      </x:c>
      <x:c r="R13" s="8" t="str">
        <x:f>IF(Q13&gt;=5,"High",IF(Q13&gt;=3,"Medium","Low"))</x:f>
        <x:v>High</x:v>
      </x:c>
      <x:c r="S13" s="6" t="inlineStr">
        <x:is>
          <x:t xml:space="preserve">BM06-BM10</x:t>
        </x:is>
      </x:c>
    </x:row>
    <x:row r="14">
      <x:c r="A14" s="5" t="inlineStr">
        <x:is>
          <x:t xml:space="preserve">RISK-06</x:t>
        </x:is>
      </x:c>
      <x:c r="B14" s="5" t="inlineStr">
        <x:is>
          <x:t xml:space="preserve">F06</x:t>
        </x:is>
      </x:c>
      <x:c r="C14" s="5" t="inlineStr">
        <x:is>
          <x:t xml:space="preserve">Monitoring Coverage Not Yet Confirmed</x:t>
        </x:is>
      </x:c>
      <x:c r="D14" s="5" t="inlineStr">
        <x:is>
          <x:t xml:space="preserve">Backup / Monitoring and core services</x:t>
        </x:is>
      </x:c>
      <x:c r="E14" s="5" t="inlineStr">
        <x:is>
          <x:t xml:space="preserve">Monitoring is positioned correctly, but visibility over critical services must be proven to support defensive operations.</x:t>
        </x:is>
      </x:c>
      <x:c r="F14" s="6" t="inlineStr">
        <x:is>
          <x:t xml:space="preserve">Medium</x:t>
        </x:is>
      </x:c>
      <x:c r="G14" s="6" t="inlineStr">
        <x:is>
          <x:t xml:space="preserve">Medium</x:t>
        </x:is>
      </x:c>
      <x:c r="H14" s="7">
        <x:f>VLOOKUP(F14,Rating_Scales!$A$2:$B$4,2,FALSE)+VLOOKUP(G14,Rating_Scales!$A$2:$B$4,2,FALSE)</x:f>
        <x:v>4</x:v>
      </x:c>
      <x:c r="I14" s="8" t="str">
        <x:f>IF(H14&gt;=5,"High",IF(H14&gt;=3,"Medium","Low"))</x:f>
        <x:v>Medium</x:v>
      </x:c>
      <x:c r="J14" s="8" t="str">
        <x:f>IF(I14="High","Immediate",IF(I14="Medium","High","Medium"))</x:f>
        <x:v>High</x:v>
      </x:c>
      <x:c r="K14" s="6" t="inlineStr">
        <x:is>
          <x:t xml:space="preserve">Monitoring &amp; Resilience Owner</x:t>
        </x:is>
      </x:c>
      <x:c r="L14" s="6" t="inlineStr">
        <x:is>
          <x:t xml:space="preserve">Open</x:t>
        </x:is>
      </x:c>
      <x:c r="M14" s="5" t="inlineStr">
        <x:is>
          <x:t xml:space="preserve">Monitoring component and proof structure already planned.</x:t>
        </x:is>
      </x:c>
      <x:c r="N14" s="5" t="inlineStr">
        <x:is>
          <x:t xml:space="preserve">Capture dashboard, host visibility, service visibility, and one meaningful event or status view.</x:t>
        </x:is>
      </x:c>
      <x:c r="O14" s="9" t="inlineStr">
        <x:is>
          <x:t xml:space="preserve">2026-04-17</x:t>
        </x:is>
      </x:c>
      <x:c r="P14" s="6" t="inlineStr">
        <x:is>
          <x:t xml:space="preserve">Not Retested</x:t>
        </x:is>
      </x:c>
      <x:c r="Q14" s="7">
        <x:f>IF(P14="Resolved",MAX(1,H14-2),IF(P14="Partially Resolved",MAX(1,H14-1),H14))</x:f>
        <x:v>4</x:v>
      </x:c>
      <x:c r="R14" s="8" t="str">
        <x:f>IF(Q14&gt;=5,"High",IF(Q14&gt;=3,"Medium","Low"))</x:f>
        <x:v>Medium</x:v>
      </x:c>
      <x:c r="S14" s="6" t="inlineStr">
        <x:is>
          <x:t xml:space="preserve">BM01-BM05</x:t>
        </x:is>
      </x:c>
    </x:row>
    <x:row r="15">
      <x:c r="A15" s="5" t="inlineStr">
        <x:is>
          <x:t xml:space="preserve">RISK-07</x:t>
        </x:is>
      </x:c>
      <x:c r="B15" s="5" t="inlineStr">
        <x:is>
          <x:t xml:space="preserve">F07</x:t>
        </x:is>
      </x:c>
      <x:c r="C15" s="5" t="inlineStr">
        <x:is>
          <x:t xml:space="preserve">Core Service Integration Proof Incomplete</x:t>
        </x:is>
      </x:c>
      <x:c r="D15" s="5" t="inlineStr">
        <x:is>
          <x:t xml:space="preserve">Web / Database / IAM / File Server</x:t>
        </x:is>
      </x:c>
      <x:c r="E15" s="5" t="inlineStr">
        <x:is>
          <x:t xml:space="preserve">Architecture is integrated by design, but end-to-end behavior still requires concrete proof to support Blue Team conclusions.</x:t>
        </x:is>
      </x:c>
      <x:c r="F15" s="6" t="inlineStr">
        <x:is>
          <x:t xml:space="preserve">Medium</x:t>
        </x:is>
      </x:c>
      <x:c r="G15" s="6" t="inlineStr">
        <x:is>
          <x:t xml:space="preserve">Medium</x:t>
        </x:is>
      </x:c>
      <x:c r="H15" s="7">
        <x:f>VLOOKUP(F15,Rating_Scales!$A$2:$B$4,2,FALSE)+VLOOKUP(G15,Rating_Scales!$A$2:$B$4,2,FALSE)</x:f>
        <x:v>4</x:v>
      </x:c>
      <x:c r="I15" s="8" t="str">
        <x:f>IF(H15&gt;=5,"High",IF(H15&gt;=3,"Medium","Low"))</x:f>
        <x:v>Medium</x:v>
      </x:c>
      <x:c r="J15" s="8" t="str">
        <x:f>IF(I15="High","Immediate",IF(I15="Medium","High","Medium"))</x:f>
        <x:v>High</x:v>
      </x:c>
      <x:c r="K15" s="6" t="inlineStr">
        <x:is>
          <x:t xml:space="preserve">System Administrator</x:t>
        </x:is>
      </x:c>
      <x:c r="L15" s="6" t="inlineStr">
        <x:is>
          <x:t xml:space="preserve">Open</x:t>
        </x:is>
      </x:c>
      <x:c r="M15" s="5" t="inlineStr">
        <x:is>
          <x:t xml:space="preserve">Integration test cases and architecture paths documented.</x:t>
        </x:is>
      </x:c>
      <x:c r="N15" s="5" t="inlineStr">
        <x:is>
          <x:t xml:space="preserve">Capture web-to-database behavior and IAM-linked file access behavior.</x:t>
        </x:is>
      </x:c>
      <x:c r="O15" s="9" t="inlineStr">
        <x:is>
          <x:t xml:space="preserve">2026-04-18</x:t>
        </x:is>
      </x:c>
      <x:c r="P15" s="6" t="inlineStr">
        <x:is>
          <x:t xml:space="preserve">Not Retested</x:t>
        </x:is>
      </x:c>
      <x:c r="Q15" s="7">
        <x:f>IF(P15="Resolved",MAX(1,H15-2),IF(P15="Partially Resolved",MAX(1,H15-1),H15))</x:f>
        <x:v>4</x:v>
      </x:c>
      <x:c r="R15" s="8" t="str">
        <x:f>IF(Q15&gt;=5,"High",IF(Q15&gt;=3,"Medium","Low"))</x:f>
        <x:v>Medium</x:v>
      </x:c>
      <x:c r="S15" s="6" t="inlineStr">
        <x:is>
          <x:t xml:space="preserve">TC-INT-01 to TC-INT-03</x:t>
        </x:is>
      </x:c>
    </x:row>
    <x:row r="16">
      <x:c r="A16" s="5" t="inlineStr">
        <x:is>
          <x:t xml:space="preserve">RISK-08</x:t>
        </x:is>
      </x:c>
      <x:c r="B16" s="5" t="inlineStr">
        <x:is>
          <x:t xml:space="preserve">F08</x:t>
        </x:is>
      </x:c>
      <x:c r="C16" s="5" t="inlineStr">
        <x:is>
          <x:t xml:space="preserve">Administrative Access Restriction Needs Proof</x:t>
        </x:is>
      </x:c>
      <x:c r="D16" s="5" t="inlineStr">
        <x:is>
          <x:t xml:space="preserve">IAM / Network Security / critical hosts</x:t>
        </x:is>
      </x:c>
      <x:c r="E16" s="5" t="inlineStr">
        <x:is>
          <x:t xml:space="preserve">Admin access is intended to be restricted, but practical evidence of approved vs unapproved admin paths is still missing.</x:t>
        </x:is>
      </x:c>
      <x:c r="F16" s="6" t="inlineStr">
        <x:is>
          <x:t xml:space="preserve">Medium</x:t>
        </x:is>
      </x:c>
      <x:c r="G16" s="6" t="inlineStr">
        <x:is>
          <x:t xml:space="preserve">Medium</x:t>
        </x:is>
      </x:c>
      <x:c r="H16" s="7">
        <x:f>VLOOKUP(F16,Rating_Scales!$A$2:$B$4,2,FALSE)+VLOOKUP(G16,Rating_Scales!$A$2:$B$4,2,FALSE)</x:f>
        <x:v>4</x:v>
      </x:c>
      <x:c r="I16" s="8" t="str">
        <x:f>IF(H16&gt;=5,"High",IF(H16&gt;=3,"Medium","Low"))</x:f>
        <x:v>Medium</x:v>
      </x:c>
      <x:c r="J16" s="8" t="str">
        <x:f>IF(I16="High","Immediate",IF(I16="Medium","High","Medium"))</x:f>
        <x:v>High</x:v>
      </x:c>
      <x:c r="K16" s="6" t="inlineStr">
        <x:is>
          <x:t xml:space="preserve">Network &amp; Security Administrator</x:t>
        </x:is>
      </x:c>
      <x:c r="L16" s="6" t="inlineStr">
        <x:is>
          <x:t xml:space="preserve">Open</x:t>
        </x:is>
      </x:c>
      <x:c r="M16" s="5" t="inlineStr">
        <x:is>
          <x:t xml:space="preserve">Restricted admin logic and network security design documented.</x:t>
        </x:is>
      </x:c>
      <x:c r="N16" s="5" t="inlineStr">
        <x:is>
          <x:t xml:space="preserve">Capture proof of approved admin path and denied unapproved path.</x:t>
        </x:is>
      </x:c>
      <x:c r="O16" s="9" t="inlineStr">
        <x:is>
          <x:t xml:space="preserve">2026-04-17</x:t>
        </x:is>
      </x:c>
      <x:c r="P16" s="6" t="inlineStr">
        <x:is>
          <x:t xml:space="preserve">Not Retested</x:t>
        </x:is>
      </x:c>
      <x:c r="Q16" s="7">
        <x:f>IF(P16="Resolved",MAX(1,H16-2),IF(P16="Partially Resolved",MAX(1,H16-1),H16))</x:f>
        <x:v>4</x:v>
      </x:c>
      <x:c r="R16" s="8" t="str">
        <x:f>IF(Q16&gt;=5,"High",IF(Q16&gt;=3,"Medium","Low"))</x:f>
        <x:v>Medium</x:v>
      </x:c>
      <x:c r="S16" s="6" t="inlineStr">
        <x:is>
          <x:t xml:space="preserve">NET07, NET10</x:t>
        </x:is>
      </x:c>
    </x:row>
    <x:row r="17">
      <x:c r="A17" s="5" t="inlineStr">
        <x:is>
          <x:t xml:space="preserve">RISK-09</x:t>
        </x:is>
      </x:c>
      <x:c r="B17" s="5" t="inlineStr">
        <x:is>
          <x:t xml:space="preserve">F09</x:t>
        </x:is>
      </x:c>
      <x:c r="C17" s="5" t="inlineStr">
        <x:is>
          <x:t xml:space="preserve">Framework More Mature Than Final Delivery</x:t>
        </x:is>
      </x:c>
      <x:c r="D17" s="5" t="inlineStr">
        <x:is>
          <x:t xml:space="preserve">Entire project / Blue Team contribution</x:t>
        </x:is>
      </x:c>
      <x:c r="E17" s="5" t="inlineStr">
        <x:is>
          <x:t xml:space="preserve">The methodology and structure are strong, but the remaining gap between design quality and completed deliverables affects final defensibility.</x:t>
        </x:is>
      </x:c>
      <x:c r="F17" s="6" t="inlineStr">
        <x:is>
          <x:t xml:space="preserve">High</x:t>
        </x:is>
      </x:c>
      <x:c r="G17" s="6" t="inlineStr">
        <x:is>
          <x:t xml:space="preserve">Medium</x:t>
        </x:is>
      </x:c>
      <x:c r="H17" s="7">
        <x:f>VLOOKUP(F17,Rating_Scales!$A$2:$B$4,2,FALSE)+VLOOKUP(G17,Rating_Scales!$A$2:$B$4,2,FALSE)</x:f>
        <x:v>5</x:v>
      </x:c>
      <x:c r="I17" s="8" t="str">
        <x:f>IF(H17&gt;=5,"High",IF(H17&gt;=3,"Medium","Low"))</x:f>
        <x:v>High</x:v>
      </x:c>
      <x:c r="J17" s="8" t="str">
        <x:f>IF(I17="High","Immediate",IF(I17="Medium","High","Medium"))</x:f>
        <x:v>Immediate</x:v>
      </x:c>
      <x:c r="K17" s="6" t="inlineStr">
        <x:is>
          <x:t xml:space="preserve">Project Lead</x:t>
        </x:is>
      </x:c>
      <x:c r="L17" s="6" t="inlineStr">
        <x:is>
          <x:t xml:space="preserve">Open</x:t>
        </x:is>
      </x:c>
      <x:c r="M17" s="5" t="inlineStr">
        <x:is>
          <x:t xml:space="preserve">All folders, templates, and management artifacts are in place.</x:t>
        </x:is>
      </x:c>
      <x:c r="N17" s="5" t="inlineStr">
        <x:is>
          <x:t xml:space="preserve">Finish completion of open placeholders, align findings/risk/remediation/retest, and prepare final summary.</x:t>
        </x:is>
      </x:c>
      <x:c r="O17" s="9" t="inlineStr">
        <x:is>
          <x:t xml:space="preserve">2026-04-19</x:t>
        </x:is>
      </x:c>
      <x:c r="P17" s="6" t="inlineStr">
        <x:is>
          <x:t xml:space="preserve">Not Retested</x:t>
        </x:is>
      </x:c>
      <x:c r="Q17" s="7">
        <x:f>IF(P17="Resolved",MAX(1,H17-2),IF(P17="Partially Resolved",MAX(1,H17-1),H17))</x:f>
        <x:v>5</x:v>
      </x:c>
      <x:c r="R17" s="8" t="str">
        <x:f>IF(Q17&gt;=5,"High",IF(Q17&gt;=3,"Medium","Low"))</x:f>
        <x:v>High</x:v>
      </x:c>
      <x:c r="S17" s="6" t="inlineStr">
        <x:is>
          <x:t xml:space="preserve">Blue Team dossier</x:t>
        </x:is>
      </x:c>
    </x:row>
    <x:row r="20" ht="32" customHeight="1">
      <x:c r="A20" s="10" t="inlineStr">
        <x:is>
          <x:t xml:space="preserve">Instructions: update blue input columns only (Likelihood, Impact, Owner, Status, Target Date, Retest Status, Evidence Ref as needed). Formula columns calculate score, rating, and priority automatically.</x:t>
        </x:is>
      </x:c>
    </x:row>
  </x:sheetData>
  <x:mergeCells>
    <x:mergeCell ref="B4:E4"/>
    <x:mergeCell ref="B6:E6"/>
    <x:mergeCell ref="A1:S1"/>
    <x:mergeCell ref="B3:E3"/>
    <x:mergeCell ref="B2:E2"/>
    <x:mergeCell ref="B5:E5"/>
    <x:mergeCell ref="A20:S20"/>
  </x:mergeCells>
  <x:conditionalFormatting sqref="I9:I17">
    <x:cfRule type="cellIs" dxfId="0" priority="1" operator="equal">
      <x:formula>"High"</x:formula>
    </x:cfRule>
    <x:cfRule type="cellIs" dxfId="1" priority="2" operator="equal">
      <x:formula>"Medium"</x:formula>
    </x:cfRule>
    <x:cfRule type="cellIs" dxfId="2" priority="3" operator="equal">
      <x:formula>"Low"</x:formula>
    </x:cfRule>
  </x:conditionalFormatting>
  <x:conditionalFormatting sqref="R9:R17">
    <x:cfRule type="cellIs" dxfId="0" priority="4" operator="equal">
      <x:formula>"High"</x:formula>
    </x:cfRule>
    <x:cfRule type="cellIs" dxfId="1" priority="5" operator="equal">
      <x:formula>"Medium"</x:formula>
    </x:cfRule>
    <x:cfRule type="cellIs" dxfId="2" priority="6" operator="equal">
      <x:formula>"Low"</x:formula>
    </x:cfRule>
  </x:conditionalFormatting>
  <x:conditionalFormatting sqref="L9:L17">
    <x:cfRule type="cellIs" dxfId="0" priority="7" operator="equal">
      <x:formula>"Blocked"</x:formula>
    </x:cfRule>
  </x:conditionalFormatting>
  <x:conditionalFormatting sqref="P9:P17">
    <x:cfRule type="cellIs" dxfId="2" priority="8" operator="equal">
      <x:formula>"Resolved"</x:formula>
    </x:cfRule>
  </x:conditionalFormatting>
  <x:dataValidations count="3">
    <x:dataValidation type="list" allowBlank="0" showDropDown="0" showInputMessage="0" showErrorMessage="0" sqref="F9:G17">
      <x:formula1>"Low,Medium,High"</x:formula1>
    </x:dataValidation>
    <x:dataValidation type="list" allowBlank="0" showDropDown="0" showInputMessage="0" showErrorMessage="0" sqref="L9:L17">
      <x:formula1>"Open,In Progress,Blocked,Closed"</x:formula1>
    </x:dataValidation>
    <x:dataValidation type="list" allowBlank="0" showDropDown="0" showInputMessage="0" showErrorMessage="0" sqref="P9:P17">
      <x:formula1>"Not Retested,Resolved,Partially Resolved,Not Resolved"</x:formula1>
    </x:dataValidation>
  </x:dataValidations>
  <x:pageMargins left="0.7" right="0.7" top="0.75" bottom="0.75" header="0.3" footer="0.3"/>
  <x:legacyDrawing xmlns:r="http://schemas.openxmlformats.org/officeDocument/2006/relationships" r:id="R639a392662a0400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2" customWidth="1"/>
    <x:col min="4" max="4" width="22" customWidth="1"/>
    <x:col min="5" max="5" width="12" customWidth="1"/>
  </x:cols>
  <x:sheetData>
    <x:row r="1">
      <x:c r="A1" s="11" t="inlineStr">
        <x:is>
          <x:t xml:space="preserve">Label</x:t>
        </x:is>
      </x:c>
      <x:c r="B1" s="11" t="inlineStr">
        <x:is>
          <x:t xml:space="preserve">Value</x:t>
        </x:is>
      </x:c>
      <x:c r="C1" s="12" t="n"/>
      <x:c r="D1" s="11" t="inlineStr">
        <x:is>
          <x:t xml:space="preserve">Residual Score to Rating</x:t>
        </x:is>
      </x:c>
      <x:c r="E1" s="11" t="inlineStr">
        <x:is>
          <x:t xml:space="preserve">Threshold</x:t>
        </x:is>
      </x:c>
    </x:row>
    <x:row r="2">
      <x:c r="A2" s="12" t="inlineStr">
        <x:is>
          <x:t xml:space="preserve">Low</x:t>
        </x:is>
      </x:c>
      <x:c r="B2" s="12" t="n">
        <x:v>1</x:v>
      </x:c>
      <x:c r="C2" s="12" t="n"/>
      <x:c r="D2" s="12" t="inlineStr">
        <x:is>
          <x:t xml:space="preserve">Low</x:t>
        </x:is>
      </x:c>
      <x:c r="E2" s="12" t="n">
        <x:v>1</x:v>
      </x:c>
    </x:row>
    <x:row r="3">
      <x:c r="A3" s="12" t="inlineStr">
        <x:is>
          <x:t xml:space="preserve">Medium</x:t>
        </x:is>
      </x:c>
      <x:c r="B3" s="12" t="n">
        <x:v>2</x:v>
      </x:c>
      <x:c r="C3" s="12" t="n"/>
      <x:c r="D3" s="12" t="inlineStr">
        <x:is>
          <x:t xml:space="preserve">Medium</x:t>
        </x:is>
      </x:c>
      <x:c r="E3" s="12" t="n">
        <x:v>3</x:v>
      </x:c>
    </x:row>
    <x:row r="4">
      <x:c r="A4" s="12" t="inlineStr">
        <x:is>
          <x:t xml:space="preserve">High</x:t>
        </x:is>
      </x:c>
      <x:c r="B4" s="12" t="n">
        <x:v>3</x:v>
      </x:c>
      <x:c r="C4" s="12" t="n"/>
      <x:c r="D4" s="12" t="inlineStr">
        <x:is>
          <x:t xml:space="preserve">High</x:t>
        </x:is>
      </x:c>
      <x:c r="E4" s="12" t="n">
        <x:v>5</x:v>
      </x:c>
    </x:row>
    <x:row r="6">
      <x:c r="A6" s="2" t="inlineStr">
        <x:is>
          <x:t xml:space="preserve">Scoring note</x:t>
        </x:is>
      </x:c>
      <x:c r="B6" s="13" t="inlineStr">
        <x:is>
          <x:t xml:space="preserve">Inherent score = Likelihood value + Impact value. Residual score reduces when retest status is Resolved or Partially Resolved.</x:t>
        </x:is>
      </x:c>
    </x:row>
  </x:sheetData>
  <x:mergeCells>
    <x:mergeCell ref="B6:E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customWidth="1"/>
    <x:col min="2" max="2" width="14" customWidth="1"/>
    <x:col min="4" max="4" width="34" customWidth="1"/>
    <x:col min="5" max="5" width="10" customWidth="1"/>
    <x:col min="6" max="6" width="10" customWidth="1"/>
  </x:cols>
  <x:sheetData>
    <x:row r="1" ht="24" customHeight="1">
      <x:c r="A1" s="14" t="inlineStr">
        <x:is>
          <x:t xml:space="preserve">Blue Team Risk Register Summary</x:t>
        </x:is>
      </x:c>
    </x:row>
    <x:row r="3">
      <x:c r="A3" s="15" t="inlineStr">
        <x:is>
          <x:t xml:space="preserve">Total risks</x:t>
        </x:is>
      </x:c>
      <x:c r="B3" s="16">
        <x:f>COUNTA(Risk_Register!A9:A17)</x:f>
        <x:v>9</x:v>
      </x:c>
      <x:c r="D3" s="17" t="inlineStr">
        <x:is>
          <x:t xml:space="preserve">Component</x:t>
        </x:is>
      </x:c>
      <x:c r="E3" s="17" t="inlineStr">
        <x:is>
          <x:t xml:space="preserve">High</x:t>
        </x:is>
      </x:c>
      <x:c r="F3" s="17" t="inlineStr">
        <x:is>
          <x:t xml:space="preserve">Medium</x:t>
        </x:is>
      </x:c>
    </x:row>
    <x:row r="4">
      <x:c r="A4" s="15" t="inlineStr">
        <x:is>
          <x:t xml:space="preserve">High inherent risks</x:t>
        </x:is>
      </x:c>
      <x:c r="B4" s="16">
        <x:f>COUNTIF(Risk_Register!I9:I17,"High")</x:f>
        <x:v>6</x:v>
      </x:c>
      <x:c r="D4" s="18" t="inlineStr">
        <x:is>
          <x:t xml:space="preserve">Entire infrastructure</x:t>
        </x:is>
      </x:c>
      <x:c r="E4" s="18">
        <x:f>COUNTIFS(Risk_Register!D$9:D$17,D4,Risk_Register!I$9:I$17,"High")</x:f>
        <x:v>1</x:v>
      </x:c>
      <x:c r="F4" s="18">
        <x:f>COUNTIFS(Risk_Register!D$9:D$17,D4,Risk_Register!I$9:I$17,"Medium")</x:f>
        <x:v>0</x:v>
      </x:c>
    </x:row>
    <x:row r="5">
      <x:c r="A5" s="15" t="inlineStr">
        <x:is>
          <x:t xml:space="preserve">Medium inherent risks</x:t>
        </x:is>
      </x:c>
      <x:c r="B5" s="16">
        <x:f>COUNTIF(Risk_Register!I9:I17,"Medium")</x:f>
        <x:v>3</x:v>
      </x:c>
      <x:c r="D5" s="18" t="inlineStr">
        <x:is>
          <x:t xml:space="preserve">Web / Database / Network Security</x:t>
        </x:is>
      </x:c>
      <x:c r="E5" s="18">
        <x:f>COUNTIFS(Risk_Register!D$9:D$17,D5,Risk_Register!I$9:I$17,"High")</x:f>
        <x:v>1</x:v>
      </x:c>
      <x:c r="F5" s="18">
        <x:f>COUNTIFS(Risk_Register!D$9:D$17,D5,Risk_Register!I$9:I$17,"Medium")</x:f>
        <x:v>0</x:v>
      </x:c>
    </x:row>
    <x:row r="6">
      <x:c r="A6" s="15" t="inlineStr">
        <x:is>
          <x:t xml:space="preserve">Open risks</x:t>
        </x:is>
      </x:c>
      <x:c r="B6" s="16">
        <x:f>COUNTIF(Risk_Register!L9:L17,"Open")</x:f>
        <x:v>9</x:v>
      </x:c>
      <x:c r="D6" s="18" t="inlineStr">
        <x:is>
          <x:t xml:space="preserve">AD / IAM / File Server</x:t>
        </x:is>
      </x:c>
      <x:c r="E6" s="18">
        <x:f>COUNTIFS(Risk_Register!D$9:D$17,D6,Risk_Register!I$9:I$17,"High")</x:f>
        <x:v>1</x:v>
      </x:c>
      <x:c r="F6" s="18">
        <x:f>COUNTIFS(Risk_Register!D$9:D$17,D6,Risk_Register!I$9:I$17,"Medium")</x:f>
        <x:v>0</x:v>
      </x:c>
    </x:row>
    <x:row r="7">
      <x:c r="A7" s="15" t="inlineStr">
        <x:is>
          <x:t xml:space="preserve">Immediate priorities</x:t>
        </x:is>
      </x:c>
      <x:c r="B7" s="16">
        <x:f>COUNTIF(Risk_Register!J9:J17,"Immediate")</x:f>
        <x:v>6</x:v>
      </x:c>
      <x:c r="D7" s="18" t="inlineStr">
        <x:is>
          <x:t xml:space="preserve">Backup / Monitoring / Database / File Server</x:t>
        </x:is>
      </x:c>
      <x:c r="E7" s="18">
        <x:f>COUNTIFS(Risk_Register!D$9:D$17,D7,Risk_Register!I$9:I$17,"High")</x:f>
        <x:v>1</x:v>
      </x:c>
      <x:c r="F7" s="18">
        <x:f>COUNTIFS(Risk_Register!D$9:D$17,D7,Risk_Register!I$9:I$17,"Medium")</x:f>
        <x:v>0</x:v>
      </x:c>
    </x:row>
    <x:row r="8">
      <x:c r="A8" s="15" t="inlineStr">
        <x:is>
          <x:t xml:space="preserve">Resolved after retest</x:t>
        </x:is>
      </x:c>
      <x:c r="B8" s="16">
        <x:f>COUNTIF(Risk_Register!P9:P17,"Resolved")</x:f>
        <x:v>0</x:v>
      </x:c>
      <x:c r="D8" s="18" t="inlineStr">
        <x:is>
          <x:t xml:space="preserve">Backup / Monitoring and core services</x:t>
        </x:is>
      </x:c>
      <x:c r="E8" s="18">
        <x:f>COUNTIFS(Risk_Register!D$9:D$17,D8,Risk_Register!I$9:I$17,"High")</x:f>
        <x:v>0</x:v>
      </x:c>
      <x:c r="F8" s="18">
        <x:f>COUNTIFS(Risk_Register!D$9:D$17,D8,Risk_Register!I$9:I$17,"Medium")</x:f>
        <x:v>1</x:v>
      </x:c>
    </x:row>
    <x:row r="9">
      <x:c r="D9" s="18" t="inlineStr">
        <x:is>
          <x:t xml:space="preserve">Web / Database / IAM / File Server</x:t>
        </x:is>
      </x:c>
      <x:c r="E9" s="18">
        <x:f>COUNTIFS(Risk_Register!D$9:D$17,D9,Risk_Register!I$9:I$17,"High")</x:f>
        <x:v>0</x:v>
      </x:c>
      <x:c r="F9" s="18">
        <x:f>COUNTIFS(Risk_Register!D$9:D$17,D9,Risk_Register!I$9:I$17,"Medium")</x:f>
        <x:v>1</x:v>
      </x:c>
    </x:row>
    <x:row r="10">
      <x:c r="D10" s="18" t="inlineStr">
        <x:is>
          <x:t xml:space="preserve">IAM / Network Security / critical hosts</x:t>
        </x:is>
      </x:c>
      <x:c r="E10" s="18">
        <x:f>COUNTIFS(Risk_Register!D$9:D$17,D10,Risk_Register!I$9:I$17,"High")</x:f>
        <x:v>0</x:v>
      </x:c>
      <x:c r="F10" s="18">
        <x:f>COUNTIFS(Risk_Register!D$9:D$17,D10,Risk_Register!I$9:I$17,"Medium")</x:f>
        <x:v>1</x:v>
      </x:c>
    </x:row>
    <x:row r="11">
      <x:c r="A11" s="19" t="inlineStr">
        <x:is>
          <x:t xml:space="preserve">Top immediate actions</x:t>
        </x:is>
      </x:c>
      <x:c r="B11" s="20" t="n"/>
      <x:c r="C11" s="20" t="n"/>
      <x:c r="D11" s="20" t="n"/>
      <x:c r="E11" s="20" t="n"/>
      <x:c r="F11" s="21" t="n"/>
    </x:row>
    <x:row r="12">
      <x:c r="A12" s="18" t="inlineStr">
        <x:is>
          <x:t xml:space="preserve">• Complete real evidence collection across all critical controls.</x:t>
        </x:is>
      </x:c>
    </x:row>
    <x:row r="13">
      <x:c r="A13" s="18" t="inlineStr">
        <x:is>
          <x:t xml:space="preserve">• Prove access control with authorized and unauthorized user tests.</x:t>
        </x:is>
      </x:c>
    </x:row>
    <x:row r="14">
      <x:c r="A14" s="18" t="inlineStr">
        <x:is>
          <x:t xml:space="preserve">• Validate restricted exposure with firewall, port, and denied-path proof.</x:t>
        </x:is>
      </x:c>
    </x:row>
    <x:row r="15">
      <x:c r="A15" s="18" t="inlineStr">
        <x:is>
          <x:t xml:space="preserve">• Produce one backup artifact and one restore-oriented validation path.</x:t>
        </x:is>
      </x:c>
    </x:row>
  </x:sheetData>
  <x:mergeCells>
    <x:mergeCell ref="A11:F11"/>
    <x:mergeCell ref="A13:F13"/>
    <x:mergeCell ref="A14:F14"/>
    <x:mergeCell ref="A1:F1"/>
    <x:mergeCell ref="A12:F12"/>
    <x:mergeCell ref="A15:F15"/>
  </x:mergeCells>
  <x:pageMargins left="0.7" right="0.7" top="0.75" bottom="0.75" header="0.3" footer="0.3"/>
</x:worksheet>
</file>